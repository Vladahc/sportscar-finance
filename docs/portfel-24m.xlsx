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Месяцы" sheetId="2" state="visible" r:id="rId2"/>
    <sheet xmlns:r="http://schemas.openxmlformats.org/officeDocument/2006/relationships" name="Пояснение" sheetId="3" state="visible" r:id="rId3"/>
    <sheet xmlns:r="http://schemas.openxmlformats.org/officeDocument/2006/relationships" name="Примеры сегодня" sheetId="4" state="visible" r:id="rId4"/>
  </sheets>
  <definedNames>
    <definedName name="_xlnm.Print_Titles" localSheetId="0">'Ввод'!$1:$2</definedName>
    <definedName name="_xlnm._FilterDatabase" localSheetId="1" hidden="1">'Месяцы'!$A$1:$O$26</definedName>
    <definedName name="_xlnm.Print_Titles" localSheetId="1">'Месяцы'!$1:$1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C5C56"/>
      <sz val="10"/>
    </font>
    <font>
      <name val="Calibri"/>
      <b val="1"/>
      <sz val="12"/>
    </font>
    <font>
      <name val="Calibri"/>
      <sz val="11"/>
    </font>
    <font>
      <name val="Calibri"/>
      <b val="1"/>
      <color rgb="00B45309"/>
      <sz val="11"/>
    </font>
    <font>
      <name val="Calibri"/>
      <b val="1"/>
      <sz val="14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A1A18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D4D4CE"/>
      </left>
      <right style="thin">
        <color rgb="00D4D4CE"/>
      </right>
      <top style="thin">
        <color rgb="00D4D4CE"/>
      </top>
      <bottom style="thin">
        <color rgb="00D4D4C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4" fillId="2" borderId="1" pivotButton="0" quotePrefix="0" xfId="0"/>
    <xf numFmtId="10" fontId="4" fillId="2" borderId="1" pivotButton="0" quotePrefix="0" xfId="0"/>
    <xf numFmtId="166" fontId="4" fillId="2" borderId="1" pivotButton="0" quotePrefix="0" xfId="0"/>
    <xf numFmtId="10" fontId="4" fillId="0" borderId="1" pivotButton="0" quotePrefix="0" xfId="0"/>
    <xf numFmtId="0" fontId="5" fillId="0" borderId="0" pivotButton="0" quotePrefix="0" xfId="0"/>
    <xf numFmtId="164" fontId="4" fillId="0" borderId="1" pivotButton="0" quotePrefix="0" xfId="0"/>
    <xf numFmtId="164" fontId="6" fillId="0" borderId="1" pivotButton="0" quotePrefix="0" xfId="0"/>
    <xf numFmtId="0" fontId="3" fillId="0" borderId="1" pivotButton="0" quotePrefix="0" xfId="0"/>
    <xf numFmtId="0" fontId="7" fillId="3" borderId="1" applyAlignment="1" pivotButton="0" quotePrefix="0" xfId="0">
      <alignment vertical="center" wrapText="1"/>
    </xf>
    <xf numFmtId="1" fontId="4" fillId="0" borderId="1" pivotButton="0" quotePrefix="0" xfId="0"/>
    <xf numFmtId="166" fontId="4" fillId="0" borderId="1" pivotButton="0" quotePrefix="0" xfId="0"/>
    <xf numFmtId="0" fontId="7" fillId="3" borderId="1" pivotButton="0" quotePrefix="0" xfId="0"/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D8F3DC"/>
        </patternFill>
      </fill>
    </dxf>
    <dxf>
      <fill>
        <patternFill patternType="solid">
          <fgColor rgb="00FDE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Всего денег по месяцам, ₽</a:t>
            </a:r>
          </a:p>
        </rich>
      </tx>
    </title>
    <plotArea>
      <lineChart>
        <grouping val="standard"/>
        <ser>
          <idx val="0"/>
          <order val="0"/>
          <tx>
            <strRef>
              <f>'Месяцы'!O1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'Месяцы'!$A$2:$A$26</f>
            </numRef>
          </cat>
          <val>
            <numRef>
              <f>'Месяцы'!$O$2:$O$26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Рубли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Бот и портфель рядом, ₽</a:t>
            </a:r>
          </a:p>
        </rich>
      </tx>
    </title>
    <plotArea>
      <lineChart>
        <grouping val="standard"/>
        <ser>
          <idx val="0"/>
          <order val="0"/>
          <tx>
            <strRef>
              <f>'Месяцы'!F1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'Месяцы'!$A$2:$A$26</f>
            </numRef>
          </cat>
          <val>
            <numRef>
              <f>'Месяцы'!$F$2:$F$26</f>
            </numRef>
          </val>
        </ser>
        <ser>
          <idx val="1"/>
          <order val="1"/>
          <tx>
            <strRef>
              <f>'Месяцы'!N1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'Месяцы'!$A$2:$A$26</f>
            </numRef>
          </cat>
          <val>
            <numRef>
              <f>'Месяцы'!$N$2:$N$26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Рубли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2" customWidth="1" min="2" max="2"/>
    <col width="18" customWidth="1" min="3" max="3"/>
    <col width="55" customWidth="1" min="4" max="4"/>
    <col width="12" customWidth="1" min="5" max="5"/>
    <col width="14" customWidth="1" min="6" max="6"/>
  </cols>
  <sheetData>
    <row r="1" ht="28" customHeight="1">
      <c r="A1" s="1" t="inlineStr">
        <is>
          <t>Портфель на 24 месяца: работа + бот на крипте</t>
        </is>
      </c>
    </row>
    <row r="2">
      <c r="A2" s="2" t="inlineStr">
        <is>
          <t>Жёлтые ячейки можно менять. Лист «Месяцы» пересчитается сам. Цифры доходности — твой сценарий, не обещание рынка. Срез цен: лист «Примеры сегодня».</t>
        </is>
      </c>
    </row>
    <row r="4">
      <c r="A4" s="3" t="inlineStr">
        <is>
          <t>Откуда деньги</t>
        </is>
      </c>
    </row>
    <row r="5">
      <c r="A5" s="4" t="inlineStr">
        <is>
          <t>Откладываю с работы каждый месяц</t>
        </is>
      </c>
      <c r="C5" s="5" t="n">
        <v>20000</v>
      </c>
    </row>
    <row r="6">
      <c r="A6" s="4" t="inlineStr">
        <is>
          <t>Старт бота на крипте</t>
        </is>
      </c>
      <c r="C6" s="5" t="n">
        <v>100000</v>
      </c>
    </row>
    <row r="7">
      <c r="A7" s="4" t="inlineStr">
        <is>
          <t>Прибыль бота за месяц</t>
        </is>
      </c>
      <c r="C7" s="6" t="n">
        <v>0.05</v>
      </c>
      <c r="D7" s="2" t="inlineStr">
        <is>
          <t>Смени, например, на 3% или 10% — итог справа обновится.</t>
        </is>
      </c>
    </row>
    <row r="8">
      <c r="A8" s="4" t="inlineStr">
        <is>
          <t>Какую долю прибыли снимаем с бота</t>
        </is>
      </c>
      <c r="C8" s="6" t="n">
        <v>0.2</v>
      </c>
    </row>
    <row r="9">
      <c r="A9" s="4" t="inlineStr">
        <is>
          <t>Дата старта</t>
        </is>
      </c>
      <c r="C9" s="7" t="n">
        <v>46266</v>
      </c>
    </row>
    <row r="11">
      <c r="A11" s="3" t="inlineStr">
        <is>
          <t>Куда кладём снятое с бота и 20 тысяч с работы (сумма долей = 100%)</t>
        </is>
      </c>
    </row>
    <row r="12">
      <c r="A12" s="4" t="inlineStr">
        <is>
          <t>Спокойный вклад</t>
        </is>
      </c>
      <c r="C12" s="6" t="n">
        <v>0.4</v>
      </c>
    </row>
    <row r="13">
      <c r="A13" s="4" t="inlineStr">
        <is>
          <t>Облигации государства / фонды почти как вклад</t>
        </is>
      </c>
      <c r="C13" s="6" t="n">
        <v>0.15</v>
      </c>
    </row>
    <row r="14">
      <c r="A14" s="4" t="inlineStr">
        <is>
          <t>Акции компаний (лучше фонд на индекс, не одна бумага)</t>
        </is>
      </c>
      <c r="C14" s="6" t="n">
        <v>0.2</v>
      </c>
    </row>
    <row r="15">
      <c r="A15" s="4" t="inlineStr">
        <is>
          <t>Золото</t>
        </is>
      </c>
      <c r="C15" s="6" t="n">
        <v>0.15</v>
      </c>
    </row>
    <row r="16">
      <c r="A16" s="4" t="inlineStr">
        <is>
          <t>Биткоин (уже вне бота, без займа)</t>
        </is>
      </c>
      <c r="C16" s="6" t="n">
        <v>0.1</v>
      </c>
    </row>
    <row r="17">
      <c r="A17" s="4" t="inlineStr">
        <is>
          <t>Сумма долей (должно быть 100%)</t>
        </is>
      </c>
      <c r="C17" s="8">
        <f>C12+C13+C14+C15+C16</f>
        <v/>
      </c>
      <c r="D17" s="9">
        <f>IF(ABS(C17-1)&lt;0.0001,"норм","поправь доли: сумма не 100%")</f>
        <v/>
      </c>
    </row>
    <row r="19">
      <c r="A19" s="3" t="inlineStr">
        <is>
          <t>Какой рост за год закладываем в расчёт (меняй под свой сценарий)</t>
        </is>
      </c>
    </row>
    <row r="20">
      <c r="A20" s="4" t="inlineStr">
        <is>
          <t>Вклад, % за год</t>
        </is>
      </c>
      <c r="C20" s="6" t="n">
        <v>0.14</v>
      </c>
      <c r="E20" s="4" t="inlineStr">
        <is>
          <t>за месяц</t>
        </is>
      </c>
      <c r="F20" s="8">
        <f>(1+C20)^(1/12)-1</f>
        <v/>
      </c>
    </row>
    <row r="21">
      <c r="A21" s="4" t="inlineStr">
        <is>
          <t>Облигации / фонды почти как вклад, % за год</t>
        </is>
      </c>
      <c r="C21" s="6" t="n">
        <v>0.135</v>
      </c>
      <c r="E21" s="4" t="inlineStr">
        <is>
          <t>за месяц</t>
        </is>
      </c>
      <c r="F21" s="8">
        <f>(1+C21)^(1/12)-1</f>
        <v/>
      </c>
    </row>
    <row r="22">
      <c r="A22" s="4" t="inlineStr">
        <is>
          <t>Акции компаний, % за год</t>
        </is>
      </c>
      <c r="C22" s="6" t="n">
        <v>0.12</v>
      </c>
      <c r="E22" s="4" t="inlineStr">
        <is>
          <t>за месяц</t>
        </is>
      </c>
      <c r="F22" s="8">
        <f>(1+C22)^(1/12)-1</f>
        <v/>
      </c>
    </row>
    <row r="23">
      <c r="A23" s="4" t="inlineStr">
        <is>
          <t>Золото, % за год</t>
        </is>
      </c>
      <c r="C23" s="6" t="n">
        <v>0.08</v>
      </c>
      <c r="E23" s="4" t="inlineStr">
        <is>
          <t>за месяц</t>
        </is>
      </c>
      <c r="F23" s="8">
        <f>(1+C23)^(1/12)-1</f>
        <v/>
      </c>
    </row>
    <row r="24">
      <c r="A24" s="4" t="inlineStr">
        <is>
          <t>Биткоин вне бота, % за год</t>
        </is>
      </c>
      <c r="C24" s="6" t="n">
        <v>0.3</v>
      </c>
      <c r="E24" s="4" t="inlineStr">
        <is>
          <t>за месяц</t>
        </is>
      </c>
      <c r="F24" s="8">
        <f>(1+C24)^(1/12)-1</f>
        <v/>
      </c>
    </row>
    <row r="26">
      <c r="A26" s="3" t="inlineStr">
        <is>
          <t>Сколько нужно на машину (из проекта, запас 10%)</t>
        </is>
      </c>
    </row>
    <row r="27">
      <c r="A27" s="4" t="inlineStr">
        <is>
          <t>Вторичка с российским паспортом</t>
        </is>
      </c>
      <c r="C27" s="5" t="n">
        <v>3990000</v>
      </c>
    </row>
    <row r="28">
      <c r="A28" s="4" t="inlineStr">
        <is>
          <t>Салон, новая базовая</t>
        </is>
      </c>
      <c r="C28" s="5" t="n">
        <v>5720000</v>
      </c>
    </row>
    <row r="30">
      <c r="A30" s="3" t="inlineStr">
        <is>
          <t>Итог через 24 месяца</t>
        </is>
      </c>
    </row>
    <row r="31">
      <c r="A31" s="4" t="inlineStr">
        <is>
          <t>На боте</t>
        </is>
      </c>
      <c r="C31" s="10">
        <f>Месяцы!F26</f>
        <v/>
      </c>
    </row>
    <row r="32">
      <c r="A32" s="4" t="inlineStr">
        <is>
          <t>Во вкладе</t>
        </is>
      </c>
      <c r="C32" s="10">
        <f>Месяцы!I26</f>
        <v/>
      </c>
    </row>
    <row r="33">
      <c r="A33" s="4" t="inlineStr">
        <is>
          <t>В облигациях / фондах почти как вклад</t>
        </is>
      </c>
      <c r="C33" s="10">
        <f>Месяцы!J26</f>
        <v/>
      </c>
    </row>
    <row r="34">
      <c r="A34" s="4" t="inlineStr">
        <is>
          <t>В акциях</t>
        </is>
      </c>
      <c r="C34" s="10">
        <f>Месяцы!K26</f>
        <v/>
      </c>
    </row>
    <row r="35">
      <c r="A35" s="4" t="inlineStr">
        <is>
          <t>В золоте</t>
        </is>
      </c>
      <c r="C35" s="10">
        <f>Месяцы!L26</f>
        <v/>
      </c>
    </row>
    <row r="36">
      <c r="A36" s="4" t="inlineStr">
        <is>
          <t>В биткоине (вне бота)</t>
        </is>
      </c>
      <c r="C36" s="10">
        <f>Месяцы!M26</f>
        <v/>
      </c>
    </row>
    <row r="37">
      <c r="A37" s="3" t="inlineStr">
        <is>
          <t>Портфель рядом (всё кроме бота)</t>
        </is>
      </c>
      <c r="C37" s="10">
        <f>C32+C33+C34+C35+C36</f>
        <v/>
      </c>
    </row>
    <row r="38">
      <c r="A38" s="3" t="inlineStr">
        <is>
          <t>Всего денег</t>
        </is>
      </c>
      <c r="C38" s="11">
        <f>C31+C37</f>
        <v/>
      </c>
    </row>
    <row r="40">
      <c r="A40" s="4" t="inlineStr">
        <is>
          <t>Хватает ли на машину?</t>
        </is>
      </c>
      <c r="C40" s="12">
        <f>IF(C38&gt;=C28,"да, на салон",IF(C38&gt;=C27,"да, на вторичку","нет"))</f>
        <v/>
      </c>
    </row>
    <row r="42">
      <c r="A42" s="2" t="inlineStr">
        <is>
          <t>5% в месяц у бота — уже очень сильный сценарий. 21% в месяц два года подряд в проекте считается нереалистичным. Смотри docs/fuchersy-bot.md.</t>
        </is>
      </c>
    </row>
    <row r="43"/>
  </sheetData>
  <mergeCells count="3">
    <mergeCell ref="A2:F2"/>
    <mergeCell ref="A1:F1"/>
    <mergeCell ref="A42:F43"/>
  </mergeCells>
  <conditionalFormatting sqref="C40">
    <cfRule type="expression" priority="1" dxfId="0">
      <formula>C40="да, на салон"</formula>
    </cfRule>
    <cfRule type="expression" priority="2" dxfId="1">
      <formula>C40="да, на вторичку"</formula>
    </cfRule>
  </conditionalFormatting>
  <dataValidations count="1">
    <dataValidation sqref="C7:C8 C12:C16 C20:C24" showDropDown="0" showInputMessage="0" showErrorMessage="0" allowBlank="0" error="Поставь долю от 0% до 200%" type="decimal" operator="between">
      <formula1>0</formula1>
      <formula2>2</formula2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  <col width="20" customWidth="1" min="8" max="8"/>
    <col width="14" customWidth="1" min="9" max="9"/>
    <col width="18" customWidth="1" min="10" max="10"/>
    <col width="14" customWidth="1" min="11" max="11"/>
    <col width="14" customWidth="1" min="12" max="12"/>
    <col width="18" customWidth="1" min="13" max="13"/>
    <col width="18" customWidth="1" min="14" max="14"/>
    <col width="16" customWidth="1" min="15" max="15"/>
  </cols>
  <sheetData>
    <row r="1" ht="36" customHeight="1">
      <c r="A1" s="13" t="inlineStr">
        <is>
          <t>Месяц</t>
        </is>
      </c>
      <c r="B1" s="13" t="inlineStr">
        <is>
          <t>Дата</t>
        </is>
      </c>
      <c r="C1" s="13" t="inlineStr">
        <is>
          <t>Бот на начало</t>
        </is>
      </c>
      <c r="D1" s="13" t="inlineStr">
        <is>
          <t>Прибыль бота</t>
        </is>
      </c>
      <c r="E1" s="13" t="inlineStr">
        <is>
          <t>Сняли 20% прибыли</t>
        </is>
      </c>
      <c r="F1" s="13" t="inlineStr">
        <is>
          <t>Бот на конец</t>
        </is>
      </c>
      <c r="G1" s="13" t="inlineStr">
        <is>
          <t>С работы</t>
        </is>
      </c>
      <c r="H1" s="13" t="inlineStr">
        <is>
          <t>Всего в портфель рядом</t>
        </is>
      </c>
      <c r="I1" s="13" t="inlineStr">
        <is>
          <t>Вклад</t>
        </is>
      </c>
      <c r="J1" s="13" t="inlineStr">
        <is>
          <t>Облигации / фонды</t>
        </is>
      </c>
      <c r="K1" s="13" t="inlineStr">
        <is>
          <t>Акции</t>
        </is>
      </c>
      <c r="L1" s="13" t="inlineStr">
        <is>
          <t>Золото</t>
        </is>
      </c>
      <c r="M1" s="13" t="inlineStr">
        <is>
          <t>Биткоин вне бота</t>
        </is>
      </c>
      <c r="N1" s="13" t="inlineStr">
        <is>
          <t>Портфель рядом</t>
        </is>
      </c>
      <c r="O1" s="13" t="inlineStr">
        <is>
          <t>Всего</t>
        </is>
      </c>
    </row>
    <row r="2">
      <c r="A2" s="14" t="n">
        <v>0</v>
      </c>
      <c r="B2" s="15">
        <f>Ввод!C9</f>
        <v/>
      </c>
      <c r="C2" s="10" t="n">
        <v>0</v>
      </c>
      <c r="D2" s="10" t="n">
        <v>0</v>
      </c>
      <c r="E2" s="10" t="n">
        <v>0</v>
      </c>
      <c r="F2" s="10">
        <f>Ввод!C6</f>
        <v/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>
        <f>I2+J2+K2+L2+M2</f>
        <v/>
      </c>
      <c r="O2" s="10">
        <f>F2+N2</f>
        <v/>
      </c>
    </row>
    <row r="3">
      <c r="A3" s="14" t="n">
        <v>1</v>
      </c>
      <c r="B3" s="15">
        <f>EDATE($B$2,A3)</f>
        <v/>
      </c>
      <c r="C3" s="10">
        <f>F2</f>
        <v/>
      </c>
      <c r="D3" s="10">
        <f>C3*Ввод!$C$7</f>
        <v/>
      </c>
      <c r="E3" s="10">
        <f>IF(D3&gt;0,D3*Ввод!$C$8,0)</f>
        <v/>
      </c>
      <c r="F3" s="10">
        <f>C3+D3-E3</f>
        <v/>
      </c>
      <c r="G3" s="10">
        <f>Ввод!$C$5</f>
        <v/>
      </c>
      <c r="H3" s="10">
        <f>E3+G3</f>
        <v/>
      </c>
      <c r="I3" s="10">
        <f>I2*(1+Ввод!$F$20)+H3*Ввод!$C$12</f>
        <v/>
      </c>
      <c r="J3" s="10">
        <f>J2*(1+Ввод!$F$21)+H3*Ввод!$C$13</f>
        <v/>
      </c>
      <c r="K3" s="10">
        <f>K2*(1+Ввод!$F$22)+H3*Ввод!$C$14</f>
        <v/>
      </c>
      <c r="L3" s="10">
        <f>L2*(1+Ввод!$F$23)+H3*Ввод!$C$15</f>
        <v/>
      </c>
      <c r="M3" s="10">
        <f>M2*(1+Ввод!$F$24)+H3*Ввод!$C$16</f>
        <v/>
      </c>
      <c r="N3" s="10">
        <f>I3+J3+K3+L3+M3</f>
        <v/>
      </c>
      <c r="O3" s="10">
        <f>F3+N3</f>
        <v/>
      </c>
    </row>
    <row r="4">
      <c r="A4" s="14" t="n">
        <v>2</v>
      </c>
      <c r="B4" s="15">
        <f>EDATE($B$2,A4)</f>
        <v/>
      </c>
      <c r="C4" s="10">
        <f>F3</f>
        <v/>
      </c>
      <c r="D4" s="10">
        <f>C4*Ввод!$C$7</f>
        <v/>
      </c>
      <c r="E4" s="10">
        <f>IF(D4&gt;0,D4*Ввод!$C$8,0)</f>
        <v/>
      </c>
      <c r="F4" s="10">
        <f>C4+D4-E4</f>
        <v/>
      </c>
      <c r="G4" s="10">
        <f>Ввод!$C$5</f>
        <v/>
      </c>
      <c r="H4" s="10">
        <f>E4+G4</f>
        <v/>
      </c>
      <c r="I4" s="10">
        <f>I3*(1+Ввод!$F$20)+H4*Ввод!$C$12</f>
        <v/>
      </c>
      <c r="J4" s="10">
        <f>J3*(1+Ввод!$F$21)+H4*Ввод!$C$13</f>
        <v/>
      </c>
      <c r="K4" s="10">
        <f>K3*(1+Ввод!$F$22)+H4*Ввод!$C$14</f>
        <v/>
      </c>
      <c r="L4" s="10">
        <f>L3*(1+Ввод!$F$23)+H4*Ввод!$C$15</f>
        <v/>
      </c>
      <c r="M4" s="10">
        <f>M3*(1+Ввод!$F$24)+H4*Ввод!$C$16</f>
        <v/>
      </c>
      <c r="N4" s="10">
        <f>I4+J4+K4+L4+M4</f>
        <v/>
      </c>
      <c r="O4" s="10">
        <f>F4+N4</f>
        <v/>
      </c>
    </row>
    <row r="5">
      <c r="A5" s="14" t="n">
        <v>3</v>
      </c>
      <c r="B5" s="15">
        <f>EDATE($B$2,A5)</f>
        <v/>
      </c>
      <c r="C5" s="10">
        <f>F4</f>
        <v/>
      </c>
      <c r="D5" s="10">
        <f>C5*Ввод!$C$7</f>
        <v/>
      </c>
      <c r="E5" s="10">
        <f>IF(D5&gt;0,D5*Ввод!$C$8,0)</f>
        <v/>
      </c>
      <c r="F5" s="10">
        <f>C5+D5-E5</f>
        <v/>
      </c>
      <c r="G5" s="10">
        <f>Ввод!$C$5</f>
        <v/>
      </c>
      <c r="H5" s="10">
        <f>E5+G5</f>
        <v/>
      </c>
      <c r="I5" s="10">
        <f>I4*(1+Ввод!$F$20)+H5*Ввод!$C$12</f>
        <v/>
      </c>
      <c r="J5" s="10">
        <f>J4*(1+Ввод!$F$21)+H5*Ввод!$C$13</f>
        <v/>
      </c>
      <c r="K5" s="10">
        <f>K4*(1+Ввод!$F$22)+H5*Ввод!$C$14</f>
        <v/>
      </c>
      <c r="L5" s="10">
        <f>L4*(1+Ввод!$F$23)+H5*Ввод!$C$15</f>
        <v/>
      </c>
      <c r="M5" s="10">
        <f>M4*(1+Ввод!$F$24)+H5*Ввод!$C$16</f>
        <v/>
      </c>
      <c r="N5" s="10">
        <f>I5+J5+K5+L5+M5</f>
        <v/>
      </c>
      <c r="O5" s="10">
        <f>F5+N5</f>
        <v/>
      </c>
    </row>
    <row r="6">
      <c r="A6" s="14" t="n">
        <v>4</v>
      </c>
      <c r="B6" s="15">
        <f>EDATE($B$2,A6)</f>
        <v/>
      </c>
      <c r="C6" s="10">
        <f>F5</f>
        <v/>
      </c>
      <c r="D6" s="10">
        <f>C6*Ввод!$C$7</f>
        <v/>
      </c>
      <c r="E6" s="10">
        <f>IF(D6&gt;0,D6*Ввод!$C$8,0)</f>
        <v/>
      </c>
      <c r="F6" s="10">
        <f>C6+D6-E6</f>
        <v/>
      </c>
      <c r="G6" s="10">
        <f>Ввод!$C$5</f>
        <v/>
      </c>
      <c r="H6" s="10">
        <f>E6+G6</f>
        <v/>
      </c>
      <c r="I6" s="10">
        <f>I5*(1+Ввод!$F$20)+H6*Ввод!$C$12</f>
        <v/>
      </c>
      <c r="J6" s="10">
        <f>J5*(1+Ввод!$F$21)+H6*Ввод!$C$13</f>
        <v/>
      </c>
      <c r="K6" s="10">
        <f>K5*(1+Ввод!$F$22)+H6*Ввод!$C$14</f>
        <v/>
      </c>
      <c r="L6" s="10">
        <f>L5*(1+Ввод!$F$23)+H6*Ввод!$C$15</f>
        <v/>
      </c>
      <c r="M6" s="10">
        <f>M5*(1+Ввод!$F$24)+H6*Ввод!$C$16</f>
        <v/>
      </c>
      <c r="N6" s="10">
        <f>I6+J6+K6+L6+M6</f>
        <v/>
      </c>
      <c r="O6" s="10">
        <f>F6+N6</f>
        <v/>
      </c>
    </row>
    <row r="7">
      <c r="A7" s="14" t="n">
        <v>5</v>
      </c>
      <c r="B7" s="15">
        <f>EDATE($B$2,A7)</f>
        <v/>
      </c>
      <c r="C7" s="10">
        <f>F6</f>
        <v/>
      </c>
      <c r="D7" s="10">
        <f>C7*Ввод!$C$7</f>
        <v/>
      </c>
      <c r="E7" s="10">
        <f>IF(D7&gt;0,D7*Ввод!$C$8,0)</f>
        <v/>
      </c>
      <c r="F7" s="10">
        <f>C7+D7-E7</f>
        <v/>
      </c>
      <c r="G7" s="10">
        <f>Ввод!$C$5</f>
        <v/>
      </c>
      <c r="H7" s="10">
        <f>E7+G7</f>
        <v/>
      </c>
      <c r="I7" s="10">
        <f>I6*(1+Ввод!$F$20)+H7*Ввод!$C$12</f>
        <v/>
      </c>
      <c r="J7" s="10">
        <f>J6*(1+Ввод!$F$21)+H7*Ввод!$C$13</f>
        <v/>
      </c>
      <c r="K7" s="10">
        <f>K6*(1+Ввод!$F$22)+H7*Ввод!$C$14</f>
        <v/>
      </c>
      <c r="L7" s="10">
        <f>L6*(1+Ввод!$F$23)+H7*Ввод!$C$15</f>
        <v/>
      </c>
      <c r="M7" s="10">
        <f>M6*(1+Ввод!$F$24)+H7*Ввод!$C$16</f>
        <v/>
      </c>
      <c r="N7" s="10">
        <f>I7+J7+K7+L7+M7</f>
        <v/>
      </c>
      <c r="O7" s="10">
        <f>F7+N7</f>
        <v/>
      </c>
    </row>
    <row r="8">
      <c r="A8" s="14" t="n">
        <v>6</v>
      </c>
      <c r="B8" s="15">
        <f>EDATE($B$2,A8)</f>
        <v/>
      </c>
      <c r="C8" s="10">
        <f>F7</f>
        <v/>
      </c>
      <c r="D8" s="10">
        <f>C8*Ввод!$C$7</f>
        <v/>
      </c>
      <c r="E8" s="10">
        <f>IF(D8&gt;0,D8*Ввод!$C$8,0)</f>
        <v/>
      </c>
      <c r="F8" s="10">
        <f>C8+D8-E8</f>
        <v/>
      </c>
      <c r="G8" s="10">
        <f>Ввод!$C$5</f>
        <v/>
      </c>
      <c r="H8" s="10">
        <f>E8+G8</f>
        <v/>
      </c>
      <c r="I8" s="10">
        <f>I7*(1+Ввод!$F$20)+H8*Ввод!$C$12</f>
        <v/>
      </c>
      <c r="J8" s="10">
        <f>J7*(1+Ввод!$F$21)+H8*Ввод!$C$13</f>
        <v/>
      </c>
      <c r="K8" s="10">
        <f>K7*(1+Ввод!$F$22)+H8*Ввод!$C$14</f>
        <v/>
      </c>
      <c r="L8" s="10">
        <f>L7*(1+Ввод!$F$23)+H8*Ввод!$C$15</f>
        <v/>
      </c>
      <c r="M8" s="10">
        <f>M7*(1+Ввод!$F$24)+H8*Ввод!$C$16</f>
        <v/>
      </c>
      <c r="N8" s="10">
        <f>I8+J8+K8+L8+M8</f>
        <v/>
      </c>
      <c r="O8" s="10">
        <f>F8+N8</f>
        <v/>
      </c>
    </row>
    <row r="9">
      <c r="A9" s="14" t="n">
        <v>7</v>
      </c>
      <c r="B9" s="15">
        <f>EDATE($B$2,A9)</f>
        <v/>
      </c>
      <c r="C9" s="10">
        <f>F8</f>
        <v/>
      </c>
      <c r="D9" s="10">
        <f>C9*Ввод!$C$7</f>
        <v/>
      </c>
      <c r="E9" s="10">
        <f>IF(D9&gt;0,D9*Ввод!$C$8,0)</f>
        <v/>
      </c>
      <c r="F9" s="10">
        <f>C9+D9-E9</f>
        <v/>
      </c>
      <c r="G9" s="10">
        <f>Ввод!$C$5</f>
        <v/>
      </c>
      <c r="H9" s="10">
        <f>E9+G9</f>
        <v/>
      </c>
      <c r="I9" s="10">
        <f>I8*(1+Ввод!$F$20)+H9*Ввод!$C$12</f>
        <v/>
      </c>
      <c r="J9" s="10">
        <f>J8*(1+Ввод!$F$21)+H9*Ввод!$C$13</f>
        <v/>
      </c>
      <c r="K9" s="10">
        <f>K8*(1+Ввод!$F$22)+H9*Ввод!$C$14</f>
        <v/>
      </c>
      <c r="L9" s="10">
        <f>L8*(1+Ввод!$F$23)+H9*Ввод!$C$15</f>
        <v/>
      </c>
      <c r="M9" s="10">
        <f>M8*(1+Ввод!$F$24)+H9*Ввод!$C$16</f>
        <v/>
      </c>
      <c r="N9" s="10">
        <f>I9+J9+K9+L9+M9</f>
        <v/>
      </c>
      <c r="O9" s="10">
        <f>F9+N9</f>
        <v/>
      </c>
    </row>
    <row r="10">
      <c r="A10" s="14" t="n">
        <v>8</v>
      </c>
      <c r="B10" s="15">
        <f>EDATE($B$2,A10)</f>
        <v/>
      </c>
      <c r="C10" s="10">
        <f>F9</f>
        <v/>
      </c>
      <c r="D10" s="10">
        <f>C10*Ввод!$C$7</f>
        <v/>
      </c>
      <c r="E10" s="10">
        <f>IF(D10&gt;0,D10*Ввод!$C$8,0)</f>
        <v/>
      </c>
      <c r="F10" s="10">
        <f>C10+D10-E10</f>
        <v/>
      </c>
      <c r="G10" s="10">
        <f>Ввод!$C$5</f>
        <v/>
      </c>
      <c r="H10" s="10">
        <f>E10+G10</f>
        <v/>
      </c>
      <c r="I10" s="10">
        <f>I9*(1+Ввод!$F$20)+H10*Ввод!$C$12</f>
        <v/>
      </c>
      <c r="J10" s="10">
        <f>J9*(1+Ввод!$F$21)+H10*Ввод!$C$13</f>
        <v/>
      </c>
      <c r="K10" s="10">
        <f>K9*(1+Ввод!$F$22)+H10*Ввод!$C$14</f>
        <v/>
      </c>
      <c r="L10" s="10">
        <f>L9*(1+Ввод!$F$23)+H10*Ввод!$C$15</f>
        <v/>
      </c>
      <c r="M10" s="10">
        <f>M9*(1+Ввод!$F$24)+H10*Ввод!$C$16</f>
        <v/>
      </c>
      <c r="N10" s="10">
        <f>I10+J10+K10+L10+M10</f>
        <v/>
      </c>
      <c r="O10" s="10">
        <f>F10+N10</f>
        <v/>
      </c>
    </row>
    <row r="11">
      <c r="A11" s="14" t="n">
        <v>9</v>
      </c>
      <c r="B11" s="15">
        <f>EDATE($B$2,A11)</f>
        <v/>
      </c>
      <c r="C11" s="10">
        <f>F10</f>
        <v/>
      </c>
      <c r="D11" s="10">
        <f>C11*Ввод!$C$7</f>
        <v/>
      </c>
      <c r="E11" s="10">
        <f>IF(D11&gt;0,D11*Ввод!$C$8,0)</f>
        <v/>
      </c>
      <c r="F11" s="10">
        <f>C11+D11-E11</f>
        <v/>
      </c>
      <c r="G11" s="10">
        <f>Ввод!$C$5</f>
        <v/>
      </c>
      <c r="H11" s="10">
        <f>E11+G11</f>
        <v/>
      </c>
      <c r="I11" s="10">
        <f>I10*(1+Ввод!$F$20)+H11*Ввод!$C$12</f>
        <v/>
      </c>
      <c r="J11" s="10">
        <f>J10*(1+Ввод!$F$21)+H11*Ввод!$C$13</f>
        <v/>
      </c>
      <c r="K11" s="10">
        <f>K10*(1+Ввод!$F$22)+H11*Ввод!$C$14</f>
        <v/>
      </c>
      <c r="L11" s="10">
        <f>L10*(1+Ввод!$F$23)+H11*Ввод!$C$15</f>
        <v/>
      </c>
      <c r="M11" s="10">
        <f>M10*(1+Ввод!$F$24)+H11*Ввод!$C$16</f>
        <v/>
      </c>
      <c r="N11" s="10">
        <f>I11+J11+K11+L11+M11</f>
        <v/>
      </c>
      <c r="O11" s="10">
        <f>F11+N11</f>
        <v/>
      </c>
    </row>
    <row r="12">
      <c r="A12" s="14" t="n">
        <v>10</v>
      </c>
      <c r="B12" s="15">
        <f>EDATE($B$2,A12)</f>
        <v/>
      </c>
      <c r="C12" s="10">
        <f>F11</f>
        <v/>
      </c>
      <c r="D12" s="10">
        <f>C12*Ввод!$C$7</f>
        <v/>
      </c>
      <c r="E12" s="10">
        <f>IF(D12&gt;0,D12*Ввод!$C$8,0)</f>
        <v/>
      </c>
      <c r="F12" s="10">
        <f>C12+D12-E12</f>
        <v/>
      </c>
      <c r="G12" s="10">
        <f>Ввод!$C$5</f>
        <v/>
      </c>
      <c r="H12" s="10">
        <f>E12+G12</f>
        <v/>
      </c>
      <c r="I12" s="10">
        <f>I11*(1+Ввод!$F$20)+H12*Ввод!$C$12</f>
        <v/>
      </c>
      <c r="J12" s="10">
        <f>J11*(1+Ввод!$F$21)+H12*Ввод!$C$13</f>
        <v/>
      </c>
      <c r="K12" s="10">
        <f>K11*(1+Ввод!$F$22)+H12*Ввод!$C$14</f>
        <v/>
      </c>
      <c r="L12" s="10">
        <f>L11*(1+Ввод!$F$23)+H12*Ввод!$C$15</f>
        <v/>
      </c>
      <c r="M12" s="10">
        <f>M11*(1+Ввод!$F$24)+H12*Ввод!$C$16</f>
        <v/>
      </c>
      <c r="N12" s="10">
        <f>I12+J12+K12+L12+M12</f>
        <v/>
      </c>
      <c r="O12" s="10">
        <f>F12+N12</f>
        <v/>
      </c>
    </row>
    <row r="13">
      <c r="A13" s="14" t="n">
        <v>11</v>
      </c>
      <c r="B13" s="15">
        <f>EDATE($B$2,A13)</f>
        <v/>
      </c>
      <c r="C13" s="10">
        <f>F12</f>
        <v/>
      </c>
      <c r="D13" s="10">
        <f>C13*Ввод!$C$7</f>
        <v/>
      </c>
      <c r="E13" s="10">
        <f>IF(D13&gt;0,D13*Ввод!$C$8,0)</f>
        <v/>
      </c>
      <c r="F13" s="10">
        <f>C13+D13-E13</f>
        <v/>
      </c>
      <c r="G13" s="10">
        <f>Ввод!$C$5</f>
        <v/>
      </c>
      <c r="H13" s="10">
        <f>E13+G13</f>
        <v/>
      </c>
      <c r="I13" s="10">
        <f>I12*(1+Ввод!$F$20)+H13*Ввод!$C$12</f>
        <v/>
      </c>
      <c r="J13" s="10">
        <f>J12*(1+Ввод!$F$21)+H13*Ввод!$C$13</f>
        <v/>
      </c>
      <c r="K13" s="10">
        <f>K12*(1+Ввод!$F$22)+H13*Ввод!$C$14</f>
        <v/>
      </c>
      <c r="L13" s="10">
        <f>L12*(1+Ввод!$F$23)+H13*Ввод!$C$15</f>
        <v/>
      </c>
      <c r="M13" s="10">
        <f>M12*(1+Ввод!$F$24)+H13*Ввод!$C$16</f>
        <v/>
      </c>
      <c r="N13" s="10">
        <f>I13+J13+K13+L13+M13</f>
        <v/>
      </c>
      <c r="O13" s="10">
        <f>F13+N13</f>
        <v/>
      </c>
    </row>
    <row r="14">
      <c r="A14" s="14" t="n">
        <v>12</v>
      </c>
      <c r="B14" s="15">
        <f>EDATE($B$2,A14)</f>
        <v/>
      </c>
      <c r="C14" s="10">
        <f>F13</f>
        <v/>
      </c>
      <c r="D14" s="10">
        <f>C14*Ввод!$C$7</f>
        <v/>
      </c>
      <c r="E14" s="10">
        <f>IF(D14&gt;0,D14*Ввод!$C$8,0)</f>
        <v/>
      </c>
      <c r="F14" s="10">
        <f>C14+D14-E14</f>
        <v/>
      </c>
      <c r="G14" s="10">
        <f>Ввод!$C$5</f>
        <v/>
      </c>
      <c r="H14" s="10">
        <f>E14+G14</f>
        <v/>
      </c>
      <c r="I14" s="10">
        <f>I13*(1+Ввод!$F$20)+H14*Ввод!$C$12</f>
        <v/>
      </c>
      <c r="J14" s="10">
        <f>J13*(1+Ввод!$F$21)+H14*Ввод!$C$13</f>
        <v/>
      </c>
      <c r="K14" s="10">
        <f>K13*(1+Ввод!$F$22)+H14*Ввод!$C$14</f>
        <v/>
      </c>
      <c r="L14" s="10">
        <f>L13*(1+Ввод!$F$23)+H14*Ввод!$C$15</f>
        <v/>
      </c>
      <c r="M14" s="10">
        <f>M13*(1+Ввод!$F$24)+H14*Ввод!$C$16</f>
        <v/>
      </c>
      <c r="N14" s="10">
        <f>I14+J14+K14+L14+M14</f>
        <v/>
      </c>
      <c r="O14" s="10">
        <f>F14+N14</f>
        <v/>
      </c>
    </row>
    <row r="15">
      <c r="A15" s="14" t="n">
        <v>13</v>
      </c>
      <c r="B15" s="15">
        <f>EDATE($B$2,A15)</f>
        <v/>
      </c>
      <c r="C15" s="10">
        <f>F14</f>
        <v/>
      </c>
      <c r="D15" s="10">
        <f>C15*Ввод!$C$7</f>
        <v/>
      </c>
      <c r="E15" s="10">
        <f>IF(D15&gt;0,D15*Ввод!$C$8,0)</f>
        <v/>
      </c>
      <c r="F15" s="10">
        <f>C15+D15-E15</f>
        <v/>
      </c>
      <c r="G15" s="10">
        <f>Ввод!$C$5</f>
        <v/>
      </c>
      <c r="H15" s="10">
        <f>E15+G15</f>
        <v/>
      </c>
      <c r="I15" s="10">
        <f>I14*(1+Ввод!$F$20)+H15*Ввод!$C$12</f>
        <v/>
      </c>
      <c r="J15" s="10">
        <f>J14*(1+Ввод!$F$21)+H15*Ввод!$C$13</f>
        <v/>
      </c>
      <c r="K15" s="10">
        <f>K14*(1+Ввод!$F$22)+H15*Ввод!$C$14</f>
        <v/>
      </c>
      <c r="L15" s="10">
        <f>L14*(1+Ввод!$F$23)+H15*Ввод!$C$15</f>
        <v/>
      </c>
      <c r="M15" s="10">
        <f>M14*(1+Ввод!$F$24)+H15*Ввод!$C$16</f>
        <v/>
      </c>
      <c r="N15" s="10">
        <f>I15+J15+K15+L15+M15</f>
        <v/>
      </c>
      <c r="O15" s="10">
        <f>F15+N15</f>
        <v/>
      </c>
    </row>
    <row r="16">
      <c r="A16" s="14" t="n">
        <v>14</v>
      </c>
      <c r="B16" s="15">
        <f>EDATE($B$2,A16)</f>
        <v/>
      </c>
      <c r="C16" s="10">
        <f>F15</f>
        <v/>
      </c>
      <c r="D16" s="10">
        <f>C16*Ввод!$C$7</f>
        <v/>
      </c>
      <c r="E16" s="10">
        <f>IF(D16&gt;0,D16*Ввод!$C$8,0)</f>
        <v/>
      </c>
      <c r="F16" s="10">
        <f>C16+D16-E16</f>
        <v/>
      </c>
      <c r="G16" s="10">
        <f>Ввод!$C$5</f>
        <v/>
      </c>
      <c r="H16" s="10">
        <f>E16+G16</f>
        <v/>
      </c>
      <c r="I16" s="10">
        <f>I15*(1+Ввод!$F$20)+H16*Ввод!$C$12</f>
        <v/>
      </c>
      <c r="J16" s="10">
        <f>J15*(1+Ввод!$F$21)+H16*Ввод!$C$13</f>
        <v/>
      </c>
      <c r="K16" s="10">
        <f>K15*(1+Ввод!$F$22)+H16*Ввод!$C$14</f>
        <v/>
      </c>
      <c r="L16" s="10">
        <f>L15*(1+Ввод!$F$23)+H16*Ввод!$C$15</f>
        <v/>
      </c>
      <c r="M16" s="10">
        <f>M15*(1+Ввод!$F$24)+H16*Ввод!$C$16</f>
        <v/>
      </c>
      <c r="N16" s="10">
        <f>I16+J16+K16+L16+M16</f>
        <v/>
      </c>
      <c r="O16" s="10">
        <f>F16+N16</f>
        <v/>
      </c>
    </row>
    <row r="17">
      <c r="A17" s="14" t="n">
        <v>15</v>
      </c>
      <c r="B17" s="15">
        <f>EDATE($B$2,A17)</f>
        <v/>
      </c>
      <c r="C17" s="10">
        <f>F16</f>
        <v/>
      </c>
      <c r="D17" s="10">
        <f>C17*Ввод!$C$7</f>
        <v/>
      </c>
      <c r="E17" s="10">
        <f>IF(D17&gt;0,D17*Ввод!$C$8,0)</f>
        <v/>
      </c>
      <c r="F17" s="10">
        <f>C17+D17-E17</f>
        <v/>
      </c>
      <c r="G17" s="10">
        <f>Ввод!$C$5</f>
        <v/>
      </c>
      <c r="H17" s="10">
        <f>E17+G17</f>
        <v/>
      </c>
      <c r="I17" s="10">
        <f>I16*(1+Ввод!$F$20)+H17*Ввод!$C$12</f>
        <v/>
      </c>
      <c r="J17" s="10">
        <f>J16*(1+Ввод!$F$21)+H17*Ввод!$C$13</f>
        <v/>
      </c>
      <c r="K17" s="10">
        <f>K16*(1+Ввод!$F$22)+H17*Ввод!$C$14</f>
        <v/>
      </c>
      <c r="L17" s="10">
        <f>L16*(1+Ввод!$F$23)+H17*Ввод!$C$15</f>
        <v/>
      </c>
      <c r="M17" s="10">
        <f>M16*(1+Ввод!$F$24)+H17*Ввод!$C$16</f>
        <v/>
      </c>
      <c r="N17" s="10">
        <f>I17+J17+K17+L17+M17</f>
        <v/>
      </c>
      <c r="O17" s="10">
        <f>F17+N17</f>
        <v/>
      </c>
    </row>
    <row r="18">
      <c r="A18" s="14" t="n">
        <v>16</v>
      </c>
      <c r="B18" s="15">
        <f>EDATE($B$2,A18)</f>
        <v/>
      </c>
      <c r="C18" s="10">
        <f>F17</f>
        <v/>
      </c>
      <c r="D18" s="10">
        <f>C18*Ввод!$C$7</f>
        <v/>
      </c>
      <c r="E18" s="10">
        <f>IF(D18&gt;0,D18*Ввод!$C$8,0)</f>
        <v/>
      </c>
      <c r="F18" s="10">
        <f>C18+D18-E18</f>
        <v/>
      </c>
      <c r="G18" s="10">
        <f>Ввод!$C$5</f>
        <v/>
      </c>
      <c r="H18" s="10">
        <f>E18+G18</f>
        <v/>
      </c>
      <c r="I18" s="10">
        <f>I17*(1+Ввод!$F$20)+H18*Ввод!$C$12</f>
        <v/>
      </c>
      <c r="J18" s="10">
        <f>J17*(1+Ввод!$F$21)+H18*Ввод!$C$13</f>
        <v/>
      </c>
      <c r="K18" s="10">
        <f>K17*(1+Ввод!$F$22)+H18*Ввод!$C$14</f>
        <v/>
      </c>
      <c r="L18" s="10">
        <f>L17*(1+Ввод!$F$23)+H18*Ввод!$C$15</f>
        <v/>
      </c>
      <c r="M18" s="10">
        <f>M17*(1+Ввод!$F$24)+H18*Ввод!$C$16</f>
        <v/>
      </c>
      <c r="N18" s="10">
        <f>I18+J18+K18+L18+M18</f>
        <v/>
      </c>
      <c r="O18" s="10">
        <f>F18+N18</f>
        <v/>
      </c>
    </row>
    <row r="19">
      <c r="A19" s="14" t="n">
        <v>17</v>
      </c>
      <c r="B19" s="15">
        <f>EDATE($B$2,A19)</f>
        <v/>
      </c>
      <c r="C19" s="10">
        <f>F18</f>
        <v/>
      </c>
      <c r="D19" s="10">
        <f>C19*Ввод!$C$7</f>
        <v/>
      </c>
      <c r="E19" s="10">
        <f>IF(D19&gt;0,D19*Ввод!$C$8,0)</f>
        <v/>
      </c>
      <c r="F19" s="10">
        <f>C19+D19-E19</f>
        <v/>
      </c>
      <c r="G19" s="10">
        <f>Ввод!$C$5</f>
        <v/>
      </c>
      <c r="H19" s="10">
        <f>E19+G19</f>
        <v/>
      </c>
      <c r="I19" s="10">
        <f>I18*(1+Ввод!$F$20)+H19*Ввод!$C$12</f>
        <v/>
      </c>
      <c r="J19" s="10">
        <f>J18*(1+Ввод!$F$21)+H19*Ввод!$C$13</f>
        <v/>
      </c>
      <c r="K19" s="10">
        <f>K18*(1+Ввод!$F$22)+H19*Ввод!$C$14</f>
        <v/>
      </c>
      <c r="L19" s="10">
        <f>L18*(1+Ввод!$F$23)+H19*Ввод!$C$15</f>
        <v/>
      </c>
      <c r="M19" s="10">
        <f>M18*(1+Ввод!$F$24)+H19*Ввод!$C$16</f>
        <v/>
      </c>
      <c r="N19" s="10">
        <f>I19+J19+K19+L19+M19</f>
        <v/>
      </c>
      <c r="O19" s="10">
        <f>F19+N19</f>
        <v/>
      </c>
    </row>
    <row r="20">
      <c r="A20" s="14" t="n">
        <v>18</v>
      </c>
      <c r="B20" s="15">
        <f>EDATE($B$2,A20)</f>
        <v/>
      </c>
      <c r="C20" s="10">
        <f>F19</f>
        <v/>
      </c>
      <c r="D20" s="10">
        <f>C20*Ввод!$C$7</f>
        <v/>
      </c>
      <c r="E20" s="10">
        <f>IF(D20&gt;0,D20*Ввод!$C$8,0)</f>
        <v/>
      </c>
      <c r="F20" s="10">
        <f>C20+D20-E20</f>
        <v/>
      </c>
      <c r="G20" s="10">
        <f>Ввод!$C$5</f>
        <v/>
      </c>
      <c r="H20" s="10">
        <f>E20+G20</f>
        <v/>
      </c>
      <c r="I20" s="10">
        <f>I19*(1+Ввод!$F$20)+H20*Ввод!$C$12</f>
        <v/>
      </c>
      <c r="J20" s="10">
        <f>J19*(1+Ввод!$F$21)+H20*Ввод!$C$13</f>
        <v/>
      </c>
      <c r="K20" s="10">
        <f>K19*(1+Ввод!$F$22)+H20*Ввод!$C$14</f>
        <v/>
      </c>
      <c r="L20" s="10">
        <f>L19*(1+Ввод!$F$23)+H20*Ввод!$C$15</f>
        <v/>
      </c>
      <c r="M20" s="10">
        <f>M19*(1+Ввод!$F$24)+H20*Ввод!$C$16</f>
        <v/>
      </c>
      <c r="N20" s="10">
        <f>I20+J20+K20+L20+M20</f>
        <v/>
      </c>
      <c r="O20" s="10">
        <f>F20+N20</f>
        <v/>
      </c>
    </row>
    <row r="21">
      <c r="A21" s="14" t="n">
        <v>19</v>
      </c>
      <c r="B21" s="15">
        <f>EDATE($B$2,A21)</f>
        <v/>
      </c>
      <c r="C21" s="10">
        <f>F20</f>
        <v/>
      </c>
      <c r="D21" s="10">
        <f>C21*Ввод!$C$7</f>
        <v/>
      </c>
      <c r="E21" s="10">
        <f>IF(D21&gt;0,D21*Ввод!$C$8,0)</f>
        <v/>
      </c>
      <c r="F21" s="10">
        <f>C21+D21-E21</f>
        <v/>
      </c>
      <c r="G21" s="10">
        <f>Ввод!$C$5</f>
        <v/>
      </c>
      <c r="H21" s="10">
        <f>E21+G21</f>
        <v/>
      </c>
      <c r="I21" s="10">
        <f>I20*(1+Ввод!$F$20)+H21*Ввод!$C$12</f>
        <v/>
      </c>
      <c r="J21" s="10">
        <f>J20*(1+Ввод!$F$21)+H21*Ввод!$C$13</f>
        <v/>
      </c>
      <c r="K21" s="10">
        <f>K20*(1+Ввод!$F$22)+H21*Ввод!$C$14</f>
        <v/>
      </c>
      <c r="L21" s="10">
        <f>L20*(1+Ввод!$F$23)+H21*Ввод!$C$15</f>
        <v/>
      </c>
      <c r="M21" s="10">
        <f>M20*(1+Ввод!$F$24)+H21*Ввод!$C$16</f>
        <v/>
      </c>
      <c r="N21" s="10">
        <f>I21+J21+K21+L21+M21</f>
        <v/>
      </c>
      <c r="O21" s="10">
        <f>F21+N21</f>
        <v/>
      </c>
    </row>
    <row r="22">
      <c r="A22" s="14" t="n">
        <v>20</v>
      </c>
      <c r="B22" s="15">
        <f>EDATE($B$2,A22)</f>
        <v/>
      </c>
      <c r="C22" s="10">
        <f>F21</f>
        <v/>
      </c>
      <c r="D22" s="10">
        <f>C22*Ввод!$C$7</f>
        <v/>
      </c>
      <c r="E22" s="10">
        <f>IF(D22&gt;0,D22*Ввод!$C$8,0)</f>
        <v/>
      </c>
      <c r="F22" s="10">
        <f>C22+D22-E22</f>
        <v/>
      </c>
      <c r="G22" s="10">
        <f>Ввод!$C$5</f>
        <v/>
      </c>
      <c r="H22" s="10">
        <f>E22+G22</f>
        <v/>
      </c>
      <c r="I22" s="10">
        <f>I21*(1+Ввод!$F$20)+H22*Ввод!$C$12</f>
        <v/>
      </c>
      <c r="J22" s="10">
        <f>J21*(1+Ввод!$F$21)+H22*Ввод!$C$13</f>
        <v/>
      </c>
      <c r="K22" s="10">
        <f>K21*(1+Ввод!$F$22)+H22*Ввод!$C$14</f>
        <v/>
      </c>
      <c r="L22" s="10">
        <f>L21*(1+Ввод!$F$23)+H22*Ввод!$C$15</f>
        <v/>
      </c>
      <c r="M22" s="10">
        <f>M21*(1+Ввод!$F$24)+H22*Ввод!$C$16</f>
        <v/>
      </c>
      <c r="N22" s="10">
        <f>I22+J22+K22+L22+M22</f>
        <v/>
      </c>
      <c r="O22" s="10">
        <f>F22+N22</f>
        <v/>
      </c>
    </row>
    <row r="23">
      <c r="A23" s="14" t="n">
        <v>21</v>
      </c>
      <c r="B23" s="15">
        <f>EDATE($B$2,A23)</f>
        <v/>
      </c>
      <c r="C23" s="10">
        <f>F22</f>
        <v/>
      </c>
      <c r="D23" s="10">
        <f>C23*Ввод!$C$7</f>
        <v/>
      </c>
      <c r="E23" s="10">
        <f>IF(D23&gt;0,D23*Ввод!$C$8,0)</f>
        <v/>
      </c>
      <c r="F23" s="10">
        <f>C23+D23-E23</f>
        <v/>
      </c>
      <c r="G23" s="10">
        <f>Ввод!$C$5</f>
        <v/>
      </c>
      <c r="H23" s="10">
        <f>E23+G23</f>
        <v/>
      </c>
      <c r="I23" s="10">
        <f>I22*(1+Ввод!$F$20)+H23*Ввод!$C$12</f>
        <v/>
      </c>
      <c r="J23" s="10">
        <f>J22*(1+Ввод!$F$21)+H23*Ввод!$C$13</f>
        <v/>
      </c>
      <c r="K23" s="10">
        <f>K22*(1+Ввод!$F$22)+H23*Ввод!$C$14</f>
        <v/>
      </c>
      <c r="L23" s="10">
        <f>L22*(1+Ввод!$F$23)+H23*Ввод!$C$15</f>
        <v/>
      </c>
      <c r="M23" s="10">
        <f>M22*(1+Ввод!$F$24)+H23*Ввод!$C$16</f>
        <v/>
      </c>
      <c r="N23" s="10">
        <f>I23+J23+K23+L23+M23</f>
        <v/>
      </c>
      <c r="O23" s="10">
        <f>F23+N23</f>
        <v/>
      </c>
    </row>
    <row r="24">
      <c r="A24" s="14" t="n">
        <v>22</v>
      </c>
      <c r="B24" s="15">
        <f>EDATE($B$2,A24)</f>
        <v/>
      </c>
      <c r="C24" s="10">
        <f>F23</f>
        <v/>
      </c>
      <c r="D24" s="10">
        <f>C24*Ввод!$C$7</f>
        <v/>
      </c>
      <c r="E24" s="10">
        <f>IF(D24&gt;0,D24*Ввод!$C$8,0)</f>
        <v/>
      </c>
      <c r="F24" s="10">
        <f>C24+D24-E24</f>
        <v/>
      </c>
      <c r="G24" s="10">
        <f>Ввод!$C$5</f>
        <v/>
      </c>
      <c r="H24" s="10">
        <f>E24+G24</f>
        <v/>
      </c>
      <c r="I24" s="10">
        <f>I23*(1+Ввод!$F$20)+H24*Ввод!$C$12</f>
        <v/>
      </c>
      <c r="J24" s="10">
        <f>J23*(1+Ввод!$F$21)+H24*Ввод!$C$13</f>
        <v/>
      </c>
      <c r="K24" s="10">
        <f>K23*(1+Ввод!$F$22)+H24*Ввод!$C$14</f>
        <v/>
      </c>
      <c r="L24" s="10">
        <f>L23*(1+Ввод!$F$23)+H24*Ввод!$C$15</f>
        <v/>
      </c>
      <c r="M24" s="10">
        <f>M23*(1+Ввод!$F$24)+H24*Ввод!$C$16</f>
        <v/>
      </c>
      <c r="N24" s="10">
        <f>I24+J24+K24+L24+M24</f>
        <v/>
      </c>
      <c r="O24" s="10">
        <f>F24+N24</f>
        <v/>
      </c>
    </row>
    <row r="25">
      <c r="A25" s="14" t="n">
        <v>23</v>
      </c>
      <c r="B25" s="15">
        <f>EDATE($B$2,A25)</f>
        <v/>
      </c>
      <c r="C25" s="10">
        <f>F24</f>
        <v/>
      </c>
      <c r="D25" s="10">
        <f>C25*Ввод!$C$7</f>
        <v/>
      </c>
      <c r="E25" s="10">
        <f>IF(D25&gt;0,D25*Ввод!$C$8,0)</f>
        <v/>
      </c>
      <c r="F25" s="10">
        <f>C25+D25-E25</f>
        <v/>
      </c>
      <c r="G25" s="10">
        <f>Ввод!$C$5</f>
        <v/>
      </c>
      <c r="H25" s="10">
        <f>E25+G25</f>
        <v/>
      </c>
      <c r="I25" s="10">
        <f>I24*(1+Ввод!$F$20)+H25*Ввод!$C$12</f>
        <v/>
      </c>
      <c r="J25" s="10">
        <f>J24*(1+Ввод!$F$21)+H25*Ввод!$C$13</f>
        <v/>
      </c>
      <c r="K25" s="10">
        <f>K24*(1+Ввод!$F$22)+H25*Ввод!$C$14</f>
        <v/>
      </c>
      <c r="L25" s="10">
        <f>L24*(1+Ввод!$F$23)+H25*Ввод!$C$15</f>
        <v/>
      </c>
      <c r="M25" s="10">
        <f>M24*(1+Ввод!$F$24)+H25*Ввод!$C$16</f>
        <v/>
      </c>
      <c r="N25" s="10">
        <f>I25+J25+K25+L25+M25</f>
        <v/>
      </c>
      <c r="O25" s="10">
        <f>F25+N25</f>
        <v/>
      </c>
    </row>
    <row r="26">
      <c r="A26" s="14" t="n">
        <v>24</v>
      </c>
      <c r="B26" s="15">
        <f>EDATE($B$2,A26)</f>
        <v/>
      </c>
      <c r="C26" s="10">
        <f>F25</f>
        <v/>
      </c>
      <c r="D26" s="10">
        <f>C26*Ввод!$C$7</f>
        <v/>
      </c>
      <c r="E26" s="10">
        <f>IF(D26&gt;0,D26*Ввод!$C$8,0)</f>
        <v/>
      </c>
      <c r="F26" s="10">
        <f>C26+D26-E26</f>
        <v/>
      </c>
      <c r="G26" s="10">
        <f>Ввод!$C$5</f>
        <v/>
      </c>
      <c r="H26" s="10">
        <f>E26+G26</f>
        <v/>
      </c>
      <c r="I26" s="10">
        <f>I25*(1+Ввод!$F$20)+H26*Ввод!$C$12</f>
        <v/>
      </c>
      <c r="J26" s="10">
        <f>J25*(1+Ввод!$F$21)+H26*Ввод!$C$13</f>
        <v/>
      </c>
      <c r="K26" s="10">
        <f>K25*(1+Ввод!$F$22)+H26*Ввод!$C$14</f>
        <v/>
      </c>
      <c r="L26" s="10">
        <f>L25*(1+Ввод!$F$23)+H26*Ввод!$C$15</f>
        <v/>
      </c>
      <c r="M26" s="10">
        <f>M25*(1+Ввод!$F$24)+H26*Ввод!$C$16</f>
        <v/>
      </c>
      <c r="N26" s="10">
        <f>I26+J26+K26+L26+M26</f>
        <v/>
      </c>
      <c r="O26" s="10">
        <f>F26+N26</f>
        <v/>
      </c>
    </row>
  </sheetData>
  <autoFilter ref="A1:O26"/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Как читать таблицу</t>
        </is>
      </c>
    </row>
    <row r="2" ht="10" customHeight="1">
      <c r="A2" s="2" t="inlineStr"/>
    </row>
    <row r="3" ht="36" customHeight="1">
      <c r="A3" s="4" t="inlineStr">
        <is>
          <t>Жёлтые ячейки на листе «Ввод» — это ручки. Поменял прибыль бота — все 24 месяца и итог пересчитались.</t>
        </is>
      </c>
    </row>
    <row r="4" ht="10" customHeight="1">
      <c r="A4" s="2" t="inlineStr"/>
    </row>
    <row r="5" ht="36" customHeight="1">
      <c r="A5" s="4" t="inlineStr">
        <is>
          <t>Бот. На старте 100 000 ₽ целиком на торговом счёте. Прибыль считается от суммы на начало месяца. Если прибыль плюс — снимаем долю (обычно 20%). Остальное остаётся на боте, объём растёт. Если месяц в минусе — с бота ничего не снимаем, счёт падает. 20 тысяч с работы всё равно кладём в портфель рядом.</t>
        </is>
      </c>
    </row>
    <row r="6" ht="10" customHeight="1">
      <c r="A6" s="2" t="inlineStr"/>
    </row>
    <row r="7" ht="36" customHeight="1">
      <c r="A7" s="4" t="inlineStr">
        <is>
          <t>Портфель рядом. Сюда идут снятие с бота плюс отложенное с работы. Делим по долям. Сначала на уже лежащую сумму капает её процент за месяц, потом приходит новый взнос (в этом месяце он ещё не растёт).</t>
        </is>
      </c>
    </row>
    <row r="8" ht="10" customHeight="1">
      <c r="A8" s="2" t="inlineStr"/>
    </row>
    <row r="9" ht="36" customHeight="1">
      <c r="A9" s="4" t="inlineStr">
        <is>
          <t>Почему такие доли по умолчанию. Вклад 40% — якорь. Облигации государства / фонды почти как вклад 15% — чуть гибче вклада. Акции 20% — рост, но прыгают. Золото 15% — страховка, если рубль слабеет. Биткоин 10% — сильный хвост, сильные просадки. Сайты с огромными процентами и займы незнакомцам сюда не кладём.</t>
        </is>
      </c>
    </row>
    <row r="10" ht="10" customHeight="1">
      <c r="A10" s="2" t="inlineStr"/>
    </row>
    <row r="11" ht="36" customHeight="1">
      <c r="A11" s="4" t="inlineStr">
        <is>
          <t>Акции лучше фондом на индекс Мосбиржи (один пай), а не пятью случайными бумагами. Конкретные тикеры и цены — лист «Примеры сегодня».</t>
        </is>
      </c>
    </row>
    <row r="12" ht="10" customHeight="1">
      <c r="A12" s="2" t="inlineStr"/>
    </row>
    <row r="13" ht="36" customHeight="1">
      <c r="A13" s="4" t="inlineStr">
        <is>
          <t>Это учебный расчёт при ровной прибыли, которую ты сам ставишь. Это не прогноз бота и не совет купить бумагу.</t>
        </is>
      </c>
    </row>
    <row r="14" ht="10" customHeight="1">
      <c r="A14" s="2" t="inlineStr"/>
    </row>
    <row r="15" ht="36" customHeight="1">
      <c r="A15" s="4" t="inlineStr">
        <is>
          <t>Связанные файлы проекта: docs/analiz-xiaomi-su7-24m.md, docs/fuchersy-bot.md, docs/obzor.html.</t>
        </is>
      </c>
    </row>
  </sheetData>
  <mergeCells count="14">
    <mergeCell ref="A2:F2"/>
    <mergeCell ref="A11:F11"/>
    <mergeCell ref="A10:F10"/>
    <mergeCell ref="A13:F13"/>
    <mergeCell ref="A14:F14"/>
    <mergeCell ref="A5:F5"/>
    <mergeCell ref="A9:F9"/>
    <mergeCell ref="A8:F8"/>
    <mergeCell ref="A6:F6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22" customWidth="1" min="4" max="4"/>
    <col width="16" customWidth="1" min="5" max="5"/>
    <col width="36" customWidth="1" min="6" max="6"/>
    <col width="42" customWidth="1" min="7" max="7"/>
  </cols>
  <sheetData>
    <row r="1">
      <c r="A1" s="1" t="inlineStr">
        <is>
          <t>Если решение принимаешь сегодня: цены и примеры</t>
        </is>
      </c>
    </row>
    <row r="2">
      <c r="A2" s="2" t="inlineStr">
        <is>
          <t>Срез 1 сентября 2026. Это ориентиры для первой покупки, не приказ брокеру. Перед сделкой открой стакан на Мосбирже: цена за день меняется. Это не индивидуальная рекомендация.</t>
        </is>
      </c>
    </row>
    <row r="4">
      <c r="A4" s="3" t="inlineStr">
        <is>
          <t>Рынок вокруг копилки</t>
        </is>
      </c>
    </row>
    <row r="5">
      <c r="A5" s="16" t="inlineStr">
        <is>
          <t>Что</t>
        </is>
      </c>
      <c r="B5" s="16" t="inlineStr">
        <is>
          <t>Цифра</t>
        </is>
      </c>
      <c r="C5" s="16" t="inlineStr">
        <is>
          <t>Откуда / зачем</t>
        </is>
      </c>
    </row>
    <row r="6">
      <c r="A6" s="17" t="inlineStr">
        <is>
          <t>Дата среза</t>
        </is>
      </c>
      <c r="B6" s="17" t="inlineStr">
        <is>
          <t>1 сентября 2026</t>
        </is>
      </c>
      <c r="C6" s="17" t="inlineStr">
        <is>
          <t>Календарь проекта</t>
        </is>
      </c>
    </row>
    <row r="7">
      <c r="A7" s="17" t="inlineStr">
        <is>
          <t>Ключевая ставка Банка России</t>
        </is>
      </c>
      <c r="B7" s="17" t="inlineStr">
        <is>
          <t>14%</t>
        </is>
      </c>
      <c r="C7" s="17" t="inlineStr">
        <is>
          <t>С 27 июля 2026, заседание 11 сентября 2026</t>
        </is>
      </c>
    </row>
    <row r="8">
      <c r="A8" s="17" t="inlineStr">
        <is>
          <t>Доллар к рублю</t>
        </is>
      </c>
      <c r="B8" s="17" t="inlineStr">
        <is>
          <t>86,3793 ₽</t>
        </is>
      </c>
      <c r="C8" s="17" t="inlineStr">
        <is>
          <t>Банк России, 01.09.2026</t>
        </is>
      </c>
    </row>
    <row r="9">
      <c r="A9" s="17" t="inlineStr">
        <is>
          <t>Юань к рублю</t>
        </is>
      </c>
      <c r="B9" s="17" t="inlineStr">
        <is>
          <t>12,8580 ₽</t>
        </is>
      </c>
      <c r="C9" s="17" t="inlineStr">
        <is>
          <t>Банк России, 01.09.2026</t>
        </is>
      </c>
    </row>
    <row r="10">
      <c r="A10" s="17" t="inlineStr">
        <is>
          <t>Биткоин</t>
        </is>
      </c>
      <c r="B10" s="17" t="inlineStr">
        <is>
          <t>78 121 $ ≈ 6,78 млн ₽</t>
        </is>
      </c>
      <c r="C10" s="17" t="inlineStr">
        <is>
          <t>рынок, ориентир на дату сбора таблицы</t>
        </is>
      </c>
    </row>
    <row r="11">
      <c r="A11" s="17" t="inlineStr">
        <is>
          <t>Золото, учётная цена Банка России</t>
        </is>
      </c>
      <c r="B11" s="17" t="inlineStr">
        <is>
          <t>12 671,47 ₽ за грамм</t>
        </is>
      </c>
      <c r="C11" s="17" t="inlineStr">
        <is>
          <t>с 1 сентября 2026, +97,15 ₽ к предыдущей</t>
        </is>
      </c>
    </row>
    <row r="12">
      <c r="A12" s="17" t="inlineStr">
        <is>
          <t>Серебро, учётная цена Банка России</t>
        </is>
      </c>
      <c r="B12" s="17" t="inlineStr">
        <is>
          <t>195,12 ₽ за грамм</t>
        </is>
      </c>
      <c r="C12" s="17" t="inlineStr">
        <is>
          <t>с 1 сентября 2026</t>
        </is>
      </c>
    </row>
    <row r="13">
      <c r="A13" s="17" t="inlineStr">
        <is>
          <t>Индекс Мосбиржи, ориентир конца августа</t>
        </is>
      </c>
      <c r="B13" s="17" t="inlineStr">
        <is>
          <t>около 2 115 пунктов</t>
        </is>
      </c>
      <c r="C13" s="17" t="inlineStr">
        <is>
          <t>неделя 24–28 августа 2026, −0,9%</t>
        </is>
      </c>
    </row>
    <row r="14">
      <c r="A14" s="17" t="inlineStr">
        <is>
          <t>Вклады на 3–12 месяцев</t>
        </is>
      </c>
      <c r="B14" s="17" t="inlineStr">
        <is>
          <t>около 13–15%</t>
        </is>
      </c>
      <c r="C14" s="17" t="inlineStr">
        <is>
          <t>как в разборе проекта</t>
        </is>
      </c>
    </row>
    <row r="15">
      <c r="A15" s="17" t="inlineStr">
        <is>
          <t>Фонды денежного рынка (LQDT, AKMM и похожие)</t>
        </is>
      </c>
      <c r="B15" s="17" t="inlineStr">
        <is>
          <t>около 14% годовых</t>
        </is>
      </c>
      <c r="C15" s="17" t="inlineStr">
        <is>
          <t>близко к ключевой ставке, не вклад</t>
        </is>
      </c>
    </row>
    <row r="16">
      <c r="A16" s="17" t="inlineStr">
        <is>
          <t>ОФЗ, доходность к погашению, ориентир лета</t>
        </is>
      </c>
      <c r="B16" s="17" t="inlineStr">
        <is>
          <t>около 15%</t>
        </is>
      </c>
      <c r="C16" s="17" t="inlineStr">
        <is>
          <t>цена бумаги прыгает, если ставка изменится</t>
        </is>
      </c>
    </row>
    <row r="18">
      <c r="A18" s="3" t="inlineStr">
        <is>
          <t>Одна корзина, если решение принимаешь сегодня</t>
        </is>
      </c>
    </row>
    <row r="19" ht="40" customHeight="1">
      <c r="A19" s="4" t="inlineStr">
        <is>
          <t>Первый месяц при настройках листа «Ввод»: с работы 20 000 ₽ + сняли с бота 1 000 ₽ = 21 000 ₽ в портфель рядом. Ниже — конкретная покупка на эти 21 000. Перед сделкой сверь цену в стакане.</t>
        </is>
      </c>
    </row>
    <row r="21" ht="28" customHeight="1">
      <c r="A21" s="13" t="inlineStr">
        <is>
          <t>Доля</t>
        </is>
      </c>
      <c r="B21" s="13" t="inlineStr">
        <is>
          <t>Куда</t>
        </is>
      </c>
      <c r="C21" s="13" t="inlineStr">
        <is>
          <t>Что купить сегодня</t>
        </is>
      </c>
      <c r="D21" s="13" t="inlineStr">
        <is>
          <t>Ориентир</t>
        </is>
      </c>
      <c r="E21" s="13" t="inlineStr">
        <is>
          <t>На сколько</t>
        </is>
      </c>
      <c r="F21" s="13" t="inlineStr">
        <is>
          <t>Что получится</t>
        </is>
      </c>
    </row>
    <row r="22" ht="40" customHeight="1">
      <c r="A22" s="18" t="inlineStr">
        <is>
          <t>40%</t>
        </is>
      </c>
      <c r="B22" s="17" t="inlineStr">
        <is>
          <t>Спокойный вклад</t>
        </is>
      </c>
      <c r="C22" s="17" t="inlineStr">
        <is>
          <t>Вклад 3–12 месяцев в крупном банке (в пределах страховки)</t>
        </is>
      </c>
      <c r="D22" s="17" t="inlineStr">
        <is>
          <t>13–15% годовых</t>
        </is>
      </c>
      <c r="E22" s="17" t="inlineStr">
        <is>
          <t>8 400 ₽</t>
        </is>
      </c>
      <c r="F22" s="17" t="inlineStr">
        <is>
          <t>Без лота: кладёшь всю сумму</t>
        </is>
      </c>
    </row>
    <row r="23" ht="40" customHeight="1">
      <c r="A23" s="18" t="inlineStr">
        <is>
          <t>15%</t>
        </is>
      </c>
      <c r="B23" s="17" t="inlineStr">
        <is>
          <t>Почти как вклад</t>
        </is>
      </c>
      <c r="C23" s="17" t="inlineStr">
        <is>
          <t>Паи денежного рынка: LQDT, AKMM или SBMM — если не хочешь открывать вклад каждый месяц</t>
        </is>
      </c>
      <c r="D23" s="17" t="inlineStr">
        <is>
          <t>около ключевой 14%</t>
        </is>
      </c>
      <c r="E23" s="17" t="inlineStr">
        <is>
          <t>3 150 ₽</t>
        </is>
      </c>
      <c r="F23" s="17" t="inlineStr">
        <is>
          <t>Паи на всю сумму 3 150 ₽</t>
        </is>
      </c>
    </row>
    <row r="24" ht="40" customHeight="1">
      <c r="A24" s="18" t="inlineStr">
        <is>
          <t>20%</t>
        </is>
      </c>
      <c r="B24" s="17" t="inlineStr">
        <is>
          <t>Акции</t>
        </is>
      </c>
      <c r="C24" s="17" t="inlineStr">
        <is>
          <t>Один фонд на индекс Мосбиржи: TMOS (запасной тот же смысл — SBMX или EQMX)</t>
        </is>
      </c>
      <c r="D24" s="17" t="inlineStr">
        <is>
          <t>TMOS 5,21 ₽ (27.08.2026)</t>
        </is>
      </c>
      <c r="E24" s="17" t="inlineStr">
        <is>
          <t>4 200 ₽</t>
        </is>
      </c>
      <c r="F24" s="17" t="inlineStr">
        <is>
          <t>около 800 паёв TMOS. Не 15 разных компаний руками</t>
        </is>
      </c>
    </row>
    <row r="25" ht="40" customHeight="1">
      <c r="A25" s="17" t="inlineStr">
        <is>
          <t>15%</t>
        </is>
      </c>
      <c r="B25" s="17" t="inlineStr">
        <is>
          <t>Золото</t>
        </is>
      </c>
      <c r="C25" s="17" t="inlineStr">
        <is>
          <t>Фонд золота: TGLD, GOLD, SBGD или AKGD. Не слиток</t>
        </is>
      </c>
      <c r="D25" s="17" t="inlineStr">
        <is>
          <t>учёт Банка России 12 671,47 ₽/г</t>
        </is>
      </c>
      <c r="E25" s="17" t="inlineStr">
        <is>
          <t>3 150 ₽</t>
        </is>
      </c>
      <c r="F25" s="17" t="inlineStr">
        <is>
          <t>паи на 3 150 ₽. Грамм слитка дороже всего этого куска</t>
        </is>
      </c>
    </row>
    <row r="26" ht="40" customHeight="1">
      <c r="A26" s="17" t="inlineStr">
        <is>
          <t>10%</t>
        </is>
      </c>
      <c r="B26" s="17" t="inlineStr">
        <is>
          <t>Биткоин вне бота</t>
        </is>
      </c>
      <c r="C26" s="17" t="inlineStr">
        <is>
          <t>Купить без займа и не трогать. Это не торговый счёт бота</t>
        </is>
      </c>
      <c r="D26" s="17" t="inlineStr">
        <is>
          <t>78 121 $ ≈ 6,78 млн ₽ за 1 BTC</t>
        </is>
      </c>
      <c r="E26" s="17" t="inlineStr">
        <is>
          <t>2 100 ₽</t>
        </is>
      </c>
      <c r="F26" s="17" t="inlineStr">
        <is>
          <t>≈ 0,00031 BTC</t>
        </is>
      </c>
    </row>
    <row r="28">
      <c r="A28" s="3" t="inlineStr">
        <is>
          <t>Как купить золото на эту сумму</t>
        </is>
      </c>
    </row>
    <row r="29" ht="48" customHeight="1">
      <c r="A29" s="4" t="inlineStr">
        <is>
          <t>На лист «Ввод» в золото по умолчанию идёт 15% новых взносов. В первый месяц при боте 5% это примерно: прибыль бота 5 000 ₽, сняли 1 000 ₽, с работы 20 000 ₽, всего в портфель 21 000 ₽, в золото ≈ 3 150 ₽.</t>
        </is>
      </c>
    </row>
    <row r="31">
      <c r="A31" s="19" t="inlineStr">
        <is>
          <t>Как</t>
        </is>
      </c>
      <c r="B31" s="19" t="inlineStr">
        <is>
          <t>Тикер / что</t>
        </is>
      </c>
      <c r="C31" s="19" t="inlineStr">
        <is>
          <t>Ориентир цены</t>
        </is>
      </c>
      <c r="D31" s="19" t="inlineStr">
        <is>
          <t>На ≈ 3 150 ₽</t>
        </is>
      </c>
      <c r="E31" s="19" t="inlineStr">
        <is>
          <t>Плюс</t>
        </is>
      </c>
      <c r="F31" s="19" t="inlineStr">
        <is>
          <t>Минус</t>
        </is>
      </c>
    </row>
    <row r="32" ht="48" customHeight="1">
      <c r="A32" s="17" t="inlineStr">
        <is>
          <t>Проще всего</t>
        </is>
      </c>
      <c r="B32" s="17" t="inlineStr">
        <is>
          <t>Фонд золота на Мосбирже: TGLD, GOLD, SBGD, AKGD</t>
        </is>
      </c>
      <c r="C32" s="17" t="inlineStr">
        <is>
          <t>смотри пай в стакане</t>
        </is>
      </c>
      <c r="D32" s="17" t="inlineStr">
        <is>
          <t>паи на всю сумму 3 150 ₽</t>
        </is>
      </c>
      <c r="E32" s="17" t="inlineStr">
        <is>
          <t>не надо хранить слиток, можно продать в биржевой день</t>
        </is>
      </c>
      <c r="F32" s="17" t="inlineStr">
        <is>
          <t>комиссия фонда, цена зависит от металла и рубля</t>
        </is>
      </c>
    </row>
    <row r="33" ht="48" customHeight="1">
      <c r="A33" s="17" t="inlineStr">
        <is>
          <t>Слиток / монета</t>
        </is>
      </c>
      <c r="B33" s="17" t="inlineStr">
        <is>
          <t>золото 999 пробы</t>
        </is>
      </c>
      <c r="C33" s="17" t="inlineStr">
        <is>
          <t>12 671 ₽/г по Банку России</t>
        </is>
      </c>
      <c r="D33" s="17" t="inlineStr">
        <is>
          <t>на 3 150 ₽ даже 1 грамм не купить (нужно ≈ 12 700 ₽ на грамм)</t>
        </is>
      </c>
      <c r="E33" s="17" t="inlineStr">
        <is>
          <t>физический металл</t>
        </is>
      </c>
      <c r="F33" s="17" t="inlineStr">
        <is>
          <t>спред банка, хранение. Имеет смысл, когда в золоте уже десятки тысяч</t>
        </is>
      </c>
    </row>
    <row r="34" ht="48" customHeight="1">
      <c r="A34" s="17" t="inlineStr">
        <is>
          <t>10 грамм</t>
        </is>
      </c>
      <c r="B34" s="17" t="inlineStr">
        <is>
          <t>мерный слиток</t>
        </is>
      </c>
      <c r="C34" s="17" t="inlineStr">
        <is>
          <t>≈ 126 715 ₽ без спреда</t>
        </is>
      </c>
      <c r="D34" s="17" t="inlineStr">
        <is>
          <t>не в первый месяц</t>
        </is>
      </c>
      <c r="E34" s="17" t="inlineStr">
        <is>
          <t>понятная штука</t>
        </is>
      </c>
      <c r="F34" s="17" t="inlineStr">
        <is>
          <t>дорого относительно ежемесячного взноса</t>
        </is>
      </c>
    </row>
    <row r="36">
      <c r="A36" s="3" t="inlineStr">
        <is>
          <t>Акции компаний: если решаешь сегодня</t>
        </is>
      </c>
    </row>
    <row r="37" ht="56" customHeight="1">
      <c r="A37" s="4" t="inlineStr">
        <is>
          <t>Главный совет таблицы: не собирать «пять любимых бумаг» на 4 000 ₽ в месяц. Купи один биржевой фонд на индекс Мосбиржи — внутри уже Сбер, Лукойл, нефть, банки. Ниже — если всё же хочешь видеть конкретные имена. Фонд за год к концу августа 2026 был в минусе примерно на 20% — акции прыгают.</t>
        </is>
      </c>
    </row>
    <row r="39" ht="32" customHeight="1">
      <c r="A39" s="13" t="inlineStr">
        <is>
          <t>Приоритет</t>
        </is>
      </c>
      <c r="B39" s="13" t="inlineStr">
        <is>
          <t>Что купить</t>
        </is>
      </c>
      <c r="C39" s="13" t="inlineStr">
        <is>
          <t>Тикер</t>
        </is>
      </c>
      <c r="D39" s="13" t="inlineStr">
        <is>
          <t>Ориентир цены</t>
        </is>
      </c>
      <c r="E39" s="13" t="inlineStr">
        <is>
          <t>Дата цены</t>
        </is>
      </c>
      <c r="F39" s="13" t="inlineStr">
        <is>
          <t>На ≈ 4 200 ₽ (20% первого взноса)</t>
        </is>
      </c>
      <c r="G39" s="13" t="inlineStr">
        <is>
          <t>Зачем в копилку на машину</t>
        </is>
      </c>
    </row>
    <row r="40" ht="52" customHeight="1">
      <c r="A40" s="18" t="inlineStr">
        <is>
          <t>1. Лучше так</t>
        </is>
      </c>
      <c r="B40" s="17" t="inlineStr">
        <is>
          <t>Фонд «индекс Мосбиржи», дивиденды внутри пая</t>
        </is>
      </c>
      <c r="C40" s="17" t="inlineStr">
        <is>
          <t>TMOS</t>
        </is>
      </c>
      <c r="D40" s="17" t="inlineStr">
        <is>
          <t>5,21 ₽ за пай</t>
        </is>
      </c>
      <c r="E40" s="17" t="inlineStr">
        <is>
          <t>27.08.2026</t>
        </is>
      </c>
      <c r="F40" s="17" t="inlineStr">
        <is>
          <t>около 800 паёв</t>
        </is>
      </c>
      <c r="G40" s="17" t="inlineStr">
        <is>
          <t>Одна покупка, внутри много компаний. Расходы фонда около 0,8% в год.</t>
        </is>
      </c>
    </row>
    <row r="41" ht="52" customHeight="1">
      <c r="A41" s="18" t="inlineStr">
        <is>
          <t>1. Тот же смысл</t>
        </is>
      </c>
      <c r="B41" s="17" t="inlineStr">
        <is>
          <t>Фонд «топ российских акций»</t>
        </is>
      </c>
      <c r="C41" s="17" t="inlineStr">
        <is>
          <t>SBMX</t>
        </is>
      </c>
      <c r="D41" s="17" t="inlineStr">
        <is>
          <t>15,13 ₽ за пай</t>
        </is>
      </c>
      <c r="E41" s="17" t="inlineStr">
        <is>
          <t>20.08.2026</t>
        </is>
      </c>
      <c r="F41" s="17" t="inlineStr">
        <is>
          <t>около 277 паёв</t>
        </is>
      </c>
      <c r="G41" s="17" t="inlineStr">
        <is>
          <t>Крупный фонд. За год к этой дате пай был примерно −22%.</t>
        </is>
      </c>
    </row>
    <row r="42" ht="52" customHeight="1">
      <c r="A42" s="18" t="inlineStr">
        <is>
          <t>1. Тот же смысл</t>
        </is>
      </c>
      <c r="B42" s="17" t="inlineStr">
        <is>
          <t>Фонд «индекс Мосбиржи»</t>
        </is>
      </c>
      <c r="C42" s="17" t="inlineStr">
        <is>
          <t>EQMX</t>
        </is>
      </c>
      <c r="D42" s="17" t="inlineStr">
        <is>
          <t>115,60 ₽ за пай</t>
        </is>
      </c>
      <c r="E42" s="17" t="inlineStr">
        <is>
          <t>20.08.2026</t>
        </is>
      </c>
      <c r="F42" s="17" t="inlineStr">
        <is>
          <t>36 паёв (чуть останется сдача)</t>
        </is>
      </c>
      <c r="G42" s="17" t="inlineStr">
        <is>
          <t>Дороже пай — меньше штук. Смысл тот же: индекс, не ставка на одну фирму.</t>
        </is>
      </c>
    </row>
    <row r="43" ht="52" customHeight="1">
      <c r="A43" s="17" t="inlineStr">
        <is>
          <t>2. Если очень хочешь одну бумагу</t>
        </is>
      </c>
      <c r="B43" s="17" t="inlineStr">
        <is>
          <t>Сбербанк, обыкновенные</t>
        </is>
      </c>
      <c r="C43" s="17" t="inlineStr">
        <is>
          <t>SBER</t>
        </is>
      </c>
      <c r="D43" s="17" t="inlineStr">
        <is>
          <t>275,85 ₽</t>
        </is>
      </c>
      <c r="E43" s="17" t="inlineStr">
        <is>
          <t>01.09.2026</t>
        </is>
      </c>
      <c r="F43" s="17" t="inlineStr">
        <is>
          <t>15 акций ≈ 4 138 ₽</t>
        </is>
      </c>
      <c r="G43" s="17" t="inlineStr">
        <is>
          <t>Самая ликвидная акция. Банк зарабатывает при высокой ставке, но цена прыгает вместе с рынком.</t>
        </is>
      </c>
    </row>
    <row r="44" ht="52" customHeight="1">
      <c r="A44" s="17" t="inlineStr">
        <is>
          <t>2. Не вместо фонда, а понимание индекса</t>
        </is>
      </c>
      <c r="B44" s="17" t="inlineStr">
        <is>
          <t>Лукойл</t>
        </is>
      </c>
      <c r="C44" s="17" t="inlineStr">
        <is>
          <t>LKOH</t>
        </is>
      </c>
      <c r="D44" s="17" t="inlineStr">
        <is>
          <t>4 324 ₽</t>
        </is>
      </c>
      <c r="E44" s="17" t="inlineStr">
        <is>
          <t>конец августа 2026</t>
        </is>
      </c>
      <c r="F44" s="17" t="inlineStr">
        <is>
          <t>1 акция ≈ 4 324 ₽ (весь кусок акций уйдёт в одну бумагу)</t>
        </is>
      </c>
      <c r="G44" s="17" t="inlineStr">
        <is>
          <t>Большая нефтяная компания, часто в топе индекса. Одна акция дорогая: на месячный взнос едва хватает штуки.</t>
        </is>
      </c>
    </row>
    <row r="45" ht="52" customHeight="1">
      <c r="A45" s="17" t="inlineStr">
        <is>
          <t>Не база</t>
        </is>
      </c>
      <c r="B45" s="17" t="inlineStr">
        <is>
          <t>Не класть всё в одну нефтяную или одну «историю»</t>
        </is>
      </c>
      <c r="C45" s="17" t="inlineStr">
        <is>
          <t>—</t>
        </is>
      </c>
      <c r="D45" s="17" t="inlineStr">
        <is>
          <t>—</t>
        </is>
      </c>
      <c r="E45" s="17" t="inlineStr">
        <is>
          <t>—</t>
        </is>
      </c>
      <c r="F45" s="17" t="inlineStr">
        <is>
          <t>—</t>
        </is>
      </c>
      <c r="G45" s="17" t="inlineStr">
        <is>
          <t>Для цели «машина через 2 года» важнее не угадать тикер, а не сжечь копилку. Индекс спокойнее эго.</t>
        </is>
      </c>
    </row>
    <row r="47">
      <c r="A47" s="3" t="inlineStr">
        <is>
          <t>Биткоин вне бота (10% новых взносов ≈ 2 100 ₽ в первый месяц при 5% бота)</t>
        </is>
      </c>
    </row>
    <row r="48">
      <c r="A48" s="16" t="inlineStr">
        <is>
          <t>Где</t>
        </is>
      </c>
      <c r="B48" s="16" t="inlineStr">
        <is>
          <t>Цена среза</t>
        </is>
      </c>
      <c r="C48" s="16" t="inlineStr">
        <is>
          <t>На 2 100 ₽</t>
        </is>
      </c>
      <c r="D48" s="16" t="inlineStr">
        <is>
          <t>Как не спутать с ботом</t>
        </is>
      </c>
    </row>
    <row r="49" ht="56" customHeight="1">
      <c r="A49" s="17" t="inlineStr">
        <is>
          <t>Крупный обменник / биржа, без займа</t>
        </is>
      </c>
      <c r="B49" s="17" t="inlineStr">
        <is>
          <t>78 121 $ ≈ 6,78 млн ₽ за 1 BTC</t>
        </is>
      </c>
      <c r="C49" s="17" t="inlineStr">
        <is>
          <t>это ≈ 0,00031 BTC — пыль, но правило то же: купил и не трогать плечом</t>
        </is>
      </c>
      <c r="D49" s="17" t="inlineStr">
        <is>
          <t>Бот торгует своими 100 тысячами. Этот кусок — «купил и лежит», как в плане Б 10 тысяч на старте.</t>
        </is>
      </c>
    </row>
    <row r="51">
      <c r="A51" s="3" t="inlineStr">
        <is>
          <t>Спокойный вклад и облигации (55% новых взносов ≈ 11 550 ₽ в первый месяц)</t>
        </is>
      </c>
    </row>
    <row r="52">
      <c r="A52" s="16" t="inlineStr">
        <is>
          <t>Куда</t>
        </is>
      </c>
      <c r="B52" s="16" t="inlineStr">
        <is>
          <t>Ориентир</t>
        </is>
      </c>
      <c r="C52" s="16" t="inlineStr">
        <is>
          <t>На 11 550 ₽</t>
        </is>
      </c>
      <c r="D52" s="16" t="inlineStr">
        <is>
          <t>Зачем</t>
        </is>
      </c>
    </row>
    <row r="53" ht="48" customHeight="1">
      <c r="A53" s="17" t="inlineStr">
        <is>
          <t>Вклад 3–12 месяцев в крупном банке (в пределах страховки)</t>
        </is>
      </c>
      <c r="B53" s="17" t="inlineStr">
        <is>
          <t>13–15% годовых при ключевой 14%</t>
        </is>
      </c>
      <c r="C53" s="17" t="inlineStr">
        <is>
          <t>вся сумма 11 550 ₽ на вклад, без лота</t>
        </is>
      </c>
      <c r="D53" s="17" t="inlineStr">
        <is>
          <t>Якорь копилки. В расчёте на листе «Ввод» стоит 14% за год — поменяй, когда откроешь вклад.</t>
        </is>
      </c>
    </row>
    <row r="54" ht="48" customHeight="1">
      <c r="A54" s="17" t="inlineStr">
        <is>
          <t>Фонд денежного рынка LQDT / AKMM / SBMM</t>
        </is>
      </c>
      <c r="B54" s="17" t="inlineStr">
        <is>
          <t>около ключевой ставки</t>
        </is>
      </c>
      <c r="C54" s="17" t="inlineStr">
        <is>
          <t>паи на 11 550 ₽, если не хочешь заводить вклад каждый месяц</t>
        </is>
      </c>
      <c r="D54" s="17" t="inlineStr">
        <is>
          <t>Деньги можно вывести биржевым днём. Это не вклад: нет той же страховки банка.</t>
        </is>
      </c>
    </row>
    <row r="55" ht="48" customHeight="1">
      <c r="A55" s="17" t="inlineStr">
        <is>
          <t>ОФЗ с погашением близко к 2028 (когда нужна машина)</t>
        </is>
      </c>
      <c r="B55" s="17" t="inlineStr">
        <is>
          <t>доходность к погашению летом около 15%</t>
        </is>
      </c>
      <c r="C55" s="17" t="inlineStr">
        <is>
          <t>смотри лот на Мосбирже (часто от 1 бумаги)</t>
        </is>
      </c>
      <c r="D55" s="17" t="inlineStr">
        <is>
          <t>Если ставка вырастет, цена бумаги может просесть до погашения. Для 24 месяцев часто проще вклад.</t>
        </is>
      </c>
    </row>
    <row r="57" ht="40" customHeight="1">
      <c r="A57" s="2" t="inlineStr">
        <is>
          <t>Источники цен: Банк России (ставка, доллар, юань, учётные цены металлов с 01.09.2026); CoinGecko (биткоин); VBR (SBER 01.09.2026); Cbonds / страницы фондов (TMOS 27.08.2026, SBMX и EQMX 20.08.2026); Инвестминт (LKOH); Финаммаркет (индекс, неделя 24–28.08.2026). Пересчёт доходности на листе «Ввод» ты делаешь сам.</t>
        </is>
      </c>
    </row>
    <row r="58"/>
  </sheetData>
  <mergeCells count="6">
    <mergeCell ref="A1:G1"/>
    <mergeCell ref="A57:G58"/>
    <mergeCell ref="A2:G2"/>
    <mergeCell ref="A29:G29"/>
    <mergeCell ref="A19:G19"/>
    <mergeCell ref="A37:G37"/>
  </mergeCells>
  <printOptions horizontalCentered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2026-09-01T10:54:18Z</dcterms:created>
  <dcterms:modified xmlns:dcterms="http://purl.org/dc/terms/" xmlns:xsi="http://www.w3.org/2001/XMLSchema-instance" xsi:type="dcterms:W3CDTF">2026-09-01T10:54:18Z</dcterms:modified>
</cp:coreProperties>
</file>