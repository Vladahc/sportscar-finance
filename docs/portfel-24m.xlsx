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admin\PycharmProjects\sportscar-finance\docs\"/>
    </mc:Choice>
  </mc:AlternateContent>
  <xr:revisionPtr revIDLastSave="0" documentId="13_ncr:1_{DEFA75F5-5288-47CE-987A-D1DC7E00132A}" xr6:coauthVersionLast="45" xr6:coauthVersionMax="45" xr10:uidLastSave="{00000000-0000-0000-0000-000000000000}"/>
  <bookViews>
    <workbookView xWindow="-120" yWindow="-120" windowWidth="29040" windowHeight="15990" xr2:uid="{00000000-000D-0000-FFFF-FFFF00000000}"/>
  </bookViews>
  <sheets>
    <sheet name="Ввод" sheetId="1" r:id="rId1"/>
    <sheet name="Месяцы" sheetId="2" r:id="rId2"/>
    <sheet name="Пояснение" sheetId="3" r:id="rId3"/>
    <sheet name="Примеры сегодня" sheetId="4" r:id="rId4"/>
  </sheets>
  <definedNames>
    <definedName name="_xlnm._FilterDatabase" localSheetId="1" hidden="1">Месяцы!$A$1:$O$26</definedName>
    <definedName name="_xlnm.Print_Titles" localSheetId="0">Ввод!$1:$2</definedName>
    <definedName name="_xlnm.Print_Titles" localSheetId="1">Месяцы!$1:$1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6" i="2" l="1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D3" i="2"/>
  <c r="E3" i="2" s="1"/>
  <c r="H3" i="2" s="1"/>
  <c r="N2" i="2"/>
  <c r="O2" i="2" s="1"/>
  <c r="F2" i="2"/>
  <c r="C3" i="2" s="1"/>
  <c r="B2" i="2"/>
  <c r="B22" i="2" s="1"/>
  <c r="F24" i="1"/>
  <c r="F23" i="1"/>
  <c r="F22" i="1"/>
  <c r="F21" i="1"/>
  <c r="F20" i="1"/>
  <c r="C17" i="1"/>
  <c r="D17" i="1" s="1"/>
  <c r="F3" i="2" l="1"/>
  <c r="C4" i="2" s="1"/>
  <c r="J3" i="2"/>
  <c r="L3" i="2"/>
  <c r="K3" i="2"/>
  <c r="B24" i="2"/>
  <c r="B26" i="2"/>
  <c r="B23" i="2"/>
  <c r="B25" i="2"/>
  <c r="I3" i="2"/>
  <c r="M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N3" i="2" l="1"/>
  <c r="O3" i="2" s="1"/>
  <c r="D4" i="2"/>
  <c r="E4" i="2" s="1"/>
  <c r="H4" i="2" s="1"/>
  <c r="L4" i="2" s="1"/>
  <c r="I4" i="2" l="1"/>
  <c r="F4" i="2"/>
  <c r="J4" i="2"/>
  <c r="K4" i="2"/>
  <c r="M4" i="2"/>
  <c r="C5" i="2" l="1"/>
  <c r="N4" i="2"/>
  <c r="O4" i="2" s="1"/>
  <c r="D5" i="2" l="1"/>
  <c r="E5" i="2" s="1"/>
  <c r="H5" i="2" s="1"/>
  <c r="F5" i="2" l="1"/>
  <c r="C6" i="2" s="1"/>
  <c r="L5" i="2"/>
  <c r="J5" i="2"/>
  <c r="I5" i="2"/>
  <c r="K5" i="2"/>
  <c r="M5" i="2"/>
  <c r="N5" i="2" l="1"/>
  <c r="O5" i="2" s="1"/>
  <c r="D6" i="2"/>
  <c r="E6" i="2" s="1"/>
  <c r="H6" i="2" s="1"/>
  <c r="J6" i="2" s="1"/>
  <c r="F6" i="2" l="1"/>
  <c r="K6" i="2"/>
  <c r="L6" i="2"/>
  <c r="M6" i="2"/>
  <c r="I6" i="2"/>
  <c r="N6" i="2" l="1"/>
  <c r="O6" i="2" s="1"/>
  <c r="C7" i="2"/>
  <c r="D7" i="2" l="1"/>
  <c r="E7" i="2" s="1"/>
  <c r="H7" i="2" s="1"/>
  <c r="F7" i="2" l="1"/>
  <c r="C8" i="2" s="1"/>
  <c r="J7" i="2"/>
  <c r="L7" i="2"/>
  <c r="K7" i="2"/>
  <c r="I7" i="2"/>
  <c r="M7" i="2"/>
  <c r="N7" i="2" l="1"/>
  <c r="O7" i="2" s="1"/>
  <c r="D8" i="2"/>
  <c r="E8" i="2" s="1"/>
  <c r="H8" i="2" s="1"/>
  <c r="L8" i="2" s="1"/>
  <c r="F8" i="2" l="1"/>
  <c r="I8" i="2"/>
  <c r="J8" i="2"/>
  <c r="K8" i="2"/>
  <c r="M8" i="2"/>
  <c r="N8" i="2" l="1"/>
  <c r="O8" i="2" s="1"/>
  <c r="C9" i="2"/>
  <c r="D9" i="2" l="1"/>
  <c r="E9" i="2" s="1"/>
  <c r="H9" i="2" s="1"/>
  <c r="F9" i="2"/>
  <c r="C10" i="2" l="1"/>
  <c r="L9" i="2"/>
  <c r="J9" i="2"/>
  <c r="I9" i="2"/>
  <c r="K9" i="2"/>
  <c r="M9" i="2"/>
  <c r="N9" i="2" l="1"/>
  <c r="O9" i="2" s="1"/>
  <c r="D10" i="2"/>
  <c r="E10" i="2" s="1"/>
  <c r="H10" i="2" s="1"/>
  <c r="J10" i="2" s="1"/>
  <c r="K10" i="2" l="1"/>
  <c r="F10" i="2"/>
  <c r="C11" i="2" s="1"/>
  <c r="M10" i="2"/>
  <c r="L10" i="2"/>
  <c r="I10" i="2"/>
  <c r="N10" i="2" l="1"/>
  <c r="O10" i="2" s="1"/>
  <c r="D11" i="2"/>
  <c r="E11" i="2" s="1"/>
  <c r="H11" i="2" s="1"/>
  <c r="J11" i="2" l="1"/>
  <c r="K11" i="2"/>
  <c r="M11" i="2"/>
  <c r="L11" i="2"/>
  <c r="F11" i="2"/>
  <c r="I11" i="2"/>
  <c r="N11" i="2" l="1"/>
  <c r="O11" i="2" s="1"/>
  <c r="C12" i="2"/>
  <c r="D12" i="2" l="1"/>
  <c r="E12" i="2" s="1"/>
  <c r="H12" i="2" s="1"/>
  <c r="F12" i="2" l="1"/>
  <c r="I12" i="2"/>
  <c r="M12" i="2"/>
  <c r="J12" i="2"/>
  <c r="K12" i="2"/>
  <c r="L12" i="2"/>
  <c r="N12" i="2" l="1"/>
  <c r="O12" i="2" s="1"/>
  <c r="C13" i="2"/>
  <c r="D13" i="2" l="1"/>
  <c r="E13" i="2" s="1"/>
  <c r="H13" i="2" s="1"/>
  <c r="F13" i="2" l="1"/>
  <c r="J13" i="2"/>
  <c r="M13" i="2"/>
  <c r="K13" i="2"/>
  <c r="L13" i="2"/>
  <c r="I13" i="2"/>
  <c r="N13" i="2" l="1"/>
  <c r="O13" i="2" s="1"/>
  <c r="C14" i="2"/>
  <c r="D14" i="2" l="1"/>
  <c r="E14" i="2" s="1"/>
  <c r="H14" i="2" s="1"/>
  <c r="F14" i="2" l="1"/>
  <c r="C15" i="2" s="1"/>
  <c r="K14" i="2"/>
  <c r="J14" i="2"/>
  <c r="M14" i="2"/>
  <c r="L14" i="2"/>
  <c r="I14" i="2"/>
  <c r="N14" i="2" l="1"/>
  <c r="O14" i="2" s="1"/>
  <c r="D15" i="2"/>
  <c r="E15" i="2" s="1"/>
  <c r="H15" i="2" s="1"/>
  <c r="J15" i="2" s="1"/>
  <c r="M15" i="2" l="1"/>
  <c r="K15" i="2"/>
  <c r="F15" i="2"/>
  <c r="I15" i="2"/>
  <c r="L15" i="2"/>
  <c r="C16" i="2" l="1"/>
  <c r="N15" i="2"/>
  <c r="O15" i="2" s="1"/>
  <c r="D16" i="2" l="1"/>
  <c r="E16" i="2" s="1"/>
  <c r="H16" i="2" s="1"/>
  <c r="J16" i="2" l="1"/>
  <c r="M16" i="2"/>
  <c r="I16" i="2"/>
  <c r="K16" i="2"/>
  <c r="L16" i="2"/>
  <c r="F16" i="2"/>
  <c r="N16" i="2" l="1"/>
  <c r="O16" i="2" s="1"/>
  <c r="C17" i="2"/>
  <c r="D17" i="2" l="1"/>
  <c r="E17" i="2" s="1"/>
  <c r="H17" i="2" s="1"/>
  <c r="F17" i="2" l="1"/>
  <c r="C18" i="2" s="1"/>
  <c r="K17" i="2"/>
  <c r="I17" i="2"/>
  <c r="M17" i="2"/>
  <c r="L17" i="2"/>
  <c r="J17" i="2"/>
  <c r="D18" i="2" l="1"/>
  <c r="E18" i="2" s="1"/>
  <c r="H18" i="2" s="1"/>
  <c r="L18" i="2" s="1"/>
  <c r="N17" i="2"/>
  <c r="O17" i="2" s="1"/>
  <c r="K18" i="2" l="1"/>
  <c r="J18" i="2"/>
  <c r="F18" i="2"/>
  <c r="M18" i="2"/>
  <c r="I18" i="2"/>
  <c r="C19" i="2" l="1"/>
  <c r="N18" i="2"/>
  <c r="O18" i="2" s="1"/>
  <c r="D19" i="2" l="1"/>
  <c r="E19" i="2" s="1"/>
  <c r="H19" i="2" s="1"/>
  <c r="F19" i="2" l="1"/>
  <c r="C20" i="2" s="1"/>
  <c r="L19" i="2"/>
  <c r="K19" i="2"/>
  <c r="M19" i="2"/>
  <c r="J19" i="2"/>
  <c r="I19" i="2"/>
  <c r="N19" i="2" l="1"/>
  <c r="O19" i="2" s="1"/>
  <c r="D20" i="2"/>
  <c r="E20" i="2" s="1"/>
  <c r="H20" i="2" s="1"/>
  <c r="K20" i="2" s="1"/>
  <c r="L20" i="2" l="1"/>
  <c r="F20" i="2"/>
  <c r="M20" i="2"/>
  <c r="I20" i="2"/>
  <c r="J20" i="2"/>
  <c r="C21" i="2" l="1"/>
  <c r="N20" i="2"/>
  <c r="O20" i="2" s="1"/>
  <c r="D21" i="2" l="1"/>
  <c r="E21" i="2" s="1"/>
  <c r="H21" i="2" s="1"/>
  <c r="F21" i="2" l="1"/>
  <c r="C22" i="2" s="1"/>
  <c r="K21" i="2"/>
  <c r="M21" i="2"/>
  <c r="L21" i="2"/>
  <c r="I21" i="2"/>
  <c r="J21" i="2"/>
  <c r="N21" i="2" l="1"/>
  <c r="O21" i="2" s="1"/>
  <c r="D22" i="2"/>
  <c r="E22" i="2" s="1"/>
  <c r="H22" i="2" s="1"/>
  <c r="M22" i="2" s="1"/>
  <c r="F22" i="2" l="1"/>
  <c r="I22" i="2"/>
  <c r="K22" i="2"/>
  <c r="L22" i="2"/>
  <c r="J22" i="2"/>
  <c r="N22" i="2" l="1"/>
  <c r="O22" i="2" s="1"/>
  <c r="C23" i="2"/>
  <c r="D23" i="2" l="1"/>
  <c r="E23" i="2" s="1"/>
  <c r="H23" i="2" s="1"/>
  <c r="M23" i="2" l="1"/>
  <c r="K23" i="2"/>
  <c r="I23" i="2"/>
  <c r="L23" i="2"/>
  <c r="J23" i="2"/>
  <c r="F23" i="2"/>
  <c r="N23" i="2" l="1"/>
  <c r="O23" i="2" s="1"/>
  <c r="C24" i="2"/>
  <c r="D24" i="2" l="1"/>
  <c r="E24" i="2" s="1"/>
  <c r="H24" i="2" s="1"/>
  <c r="L24" i="2" l="1"/>
  <c r="I24" i="2"/>
  <c r="K24" i="2"/>
  <c r="J24" i="2"/>
  <c r="M24" i="2"/>
  <c r="F24" i="2"/>
  <c r="C25" i="2" l="1"/>
  <c r="N24" i="2"/>
  <c r="O24" i="2" s="1"/>
  <c r="D25" i="2" l="1"/>
  <c r="E25" i="2" s="1"/>
  <c r="H25" i="2" s="1"/>
  <c r="F25" i="2" l="1"/>
  <c r="J25" i="2"/>
  <c r="I25" i="2"/>
  <c r="K25" i="2"/>
  <c r="M25" i="2"/>
  <c r="L25" i="2"/>
  <c r="N25" i="2" l="1"/>
  <c r="O25" i="2" s="1"/>
  <c r="C26" i="2"/>
  <c r="D26" i="2" l="1"/>
  <c r="E26" i="2" s="1"/>
  <c r="H26" i="2" s="1"/>
  <c r="F26" i="2" l="1"/>
  <c r="K26" i="2"/>
  <c r="C34" i="1" s="1"/>
  <c r="J26" i="2"/>
  <c r="C33" i="1" s="1"/>
  <c r="I26" i="2"/>
  <c r="M26" i="2"/>
  <c r="C36" i="1" s="1"/>
  <c r="L26" i="2"/>
  <c r="C35" i="1" s="1"/>
  <c r="C31" i="1"/>
  <c r="N26" i="2" l="1"/>
  <c r="O26" i="2" s="1"/>
  <c r="C32" i="1"/>
  <c r="C37" i="1" s="1"/>
  <c r="C38" i="1" s="1"/>
  <c r="C40" i="1" s="1"/>
</calcChain>
</file>

<file path=xl/sharedStrings.xml><?xml version="1.0" encoding="utf-8"?>
<sst xmlns="http://schemas.openxmlformats.org/spreadsheetml/2006/main" count="245" uniqueCount="223">
  <si>
    <t>Портфель на 24 месяца: работа + бот на крипте</t>
  </si>
  <si>
    <t>Жёлтые ячейки можно менять. Лист «Месяцы» пересчитается сам. Цифры доходности — твой сценарий, не обещание рынка. Срез цен: лист «Примеры сегодня».</t>
  </si>
  <si>
    <t>Откуда деньги</t>
  </si>
  <si>
    <t>Откладываю с работы каждый месяц</t>
  </si>
  <si>
    <t>Старт бота на крипте</t>
  </si>
  <si>
    <t>Прибыль бота за месяц</t>
  </si>
  <si>
    <t>Смени, например, на 3% или 10% — итог справа обновится.</t>
  </si>
  <si>
    <t>Какую долю прибыли снимаем с бота</t>
  </si>
  <si>
    <t>Дата старта</t>
  </si>
  <si>
    <t>Куда кладём снятое с бота и 20 тысяч с работы (сумма долей = 100%)</t>
  </si>
  <si>
    <t>Спокойный вклад</t>
  </si>
  <si>
    <t>Облигации государства / фонды почти как вклад</t>
  </si>
  <si>
    <t>Акции компаний (лучше фонд на индекс, не одна бумага)</t>
  </si>
  <si>
    <t>Золото</t>
  </si>
  <si>
    <t>Биткоин (уже вне бота, без займа)</t>
  </si>
  <si>
    <t>Сумма долей (должно быть 100%)</t>
  </si>
  <si>
    <t>Какой рост за год закладываем в расчёт (меняй под свой сценарий)</t>
  </si>
  <si>
    <t>Вклад, % за год</t>
  </si>
  <si>
    <t>за месяц</t>
  </si>
  <si>
    <t>Облигации / фонды почти как вклад, % за год</t>
  </si>
  <si>
    <t>Акции компаний, % за год</t>
  </si>
  <si>
    <t>Золото, % за год</t>
  </si>
  <si>
    <t>Биткоин вне бота, % за год</t>
  </si>
  <si>
    <t>Сколько нужно на машину (из проекта, запас 10%)</t>
  </si>
  <si>
    <t>Вторичка с российским паспортом</t>
  </si>
  <si>
    <t>Салон, новая базовая</t>
  </si>
  <si>
    <t>Итог через 24 месяца</t>
  </si>
  <si>
    <t>На боте</t>
  </si>
  <si>
    <t>Во вкладе</t>
  </si>
  <si>
    <t>В облигациях / фондах почти как вклад</t>
  </si>
  <si>
    <t>В акциях</t>
  </si>
  <si>
    <t>В золоте</t>
  </si>
  <si>
    <t>В биткоине (вне бота)</t>
  </si>
  <si>
    <t>Портфель рядом (всё кроме бота)</t>
  </si>
  <si>
    <t>Всего денег</t>
  </si>
  <si>
    <t>Хватает ли на машину?</t>
  </si>
  <si>
    <t>5% в месяц у бота — уже очень сильный сценарий. 21% в месяц два года подряд в проекте считается нереалистичным. Смотри docs/fuchersy-bot.md.</t>
  </si>
  <si>
    <t>Месяц</t>
  </si>
  <si>
    <t>Дата</t>
  </si>
  <si>
    <t>Бот на начало</t>
  </si>
  <si>
    <t>Прибыль бота</t>
  </si>
  <si>
    <t>Сняли 20% прибыли</t>
  </si>
  <si>
    <t>Бот на конец</t>
  </si>
  <si>
    <t>С работы</t>
  </si>
  <si>
    <t>Всего в портфель рядом</t>
  </si>
  <si>
    <t>Вклад</t>
  </si>
  <si>
    <t>Облигации / фонды</t>
  </si>
  <si>
    <t>Акции</t>
  </si>
  <si>
    <t>Биткоин вне бота</t>
  </si>
  <si>
    <t>Портфель рядом</t>
  </si>
  <si>
    <t>Всего</t>
  </si>
  <si>
    <t>Как читать таблицу</t>
  </si>
  <si>
    <t>Жёлтые ячейки на листе «Ввод» — это ручки. Поменял прибыль бота — все 24 месяца и итог пересчитались.</t>
  </si>
  <si>
    <t>Бот. На старте 100 000 ₽ целиком на торговом счёте. Прибыль считается от суммы на начало месяца. Если прибыль плюс — снимаем долю (обычно 20%). Остальное остаётся на боте, объём растёт. Если месяц в минусе — с бота ничего не снимаем, счёт падает. 20 тысяч с работы всё равно кладём в портфель рядом.</t>
  </si>
  <si>
    <t>Портфель рядом. Сюда идут снятие с бота плюс отложенное с работы. Делим по долям. Сначала на уже лежащую сумму капает её процент за месяц, потом приходит новый взнос (в этом месяце он ещё не растёт).</t>
  </si>
  <si>
    <t>Почему такие доли по умолчанию. Вклад 40% — якорь. Облигации государства / фонды почти как вклад 15% — чуть гибче вклада. Акции 20% — рост, но прыгают. Золото 15% — страховка, если рубль слабеет. Биткоин 10% — сильный хвост, сильные просадки. Сайты с огромными процентами и займы незнакомцам сюда не кладём.</t>
  </si>
  <si>
    <t>Акции лучше фондом на индекс Мосбиржи (один пай), а не пятью случайными бумагами. Конкретные тикеры и цены — лист «Примеры сегодня».</t>
  </si>
  <si>
    <t>Это учебный расчёт при ровной прибыли, которую ты сам ставишь. Это не прогноз бота и не совет купить бумагу.</t>
  </si>
  <si>
    <t>Связанные файлы проекта: docs/analiz-xiaomi-su7-24m.md, docs/fuchersy-bot.md, docs/obzor.html.</t>
  </si>
  <si>
    <t>Если решение принимаешь сегодня: цены и примеры</t>
  </si>
  <si>
    <t>Срез 1 сентября 2026. Это ориентиры для первой покупки, не приказ брокеру. Перед сделкой открой стакан на Мосбирже: цена за день меняется. Это не индивидуальная рекомендация.</t>
  </si>
  <si>
    <t>Рынок вокруг копилки</t>
  </si>
  <si>
    <t>Что</t>
  </si>
  <si>
    <t>Цифра</t>
  </si>
  <si>
    <t>Откуда / зачем</t>
  </si>
  <si>
    <t>Дата среза</t>
  </si>
  <si>
    <t>1 сентября 2026</t>
  </si>
  <si>
    <t>Календарь проекта</t>
  </si>
  <si>
    <t>Ключевая ставка Банка России</t>
  </si>
  <si>
    <t>14%</t>
  </si>
  <si>
    <t>С 27 июля 2026, заседание 11 сентября 2026</t>
  </si>
  <si>
    <t>Доллар к рублю</t>
  </si>
  <si>
    <t>86,3793 ₽</t>
  </si>
  <si>
    <t>Банк России, 01.09.2026</t>
  </si>
  <si>
    <t>Юань к рублю</t>
  </si>
  <si>
    <t>12,8580 ₽</t>
  </si>
  <si>
    <t>Биткоин</t>
  </si>
  <si>
    <t>78 121 $ ≈ 6,78 млн ₽</t>
  </si>
  <si>
    <t>рынок, ориентир на дату сбора таблицы</t>
  </si>
  <si>
    <t>Золото, учётная цена Банка России</t>
  </si>
  <si>
    <t>12 671,47 ₽ за грамм</t>
  </si>
  <si>
    <t>с 1 сентября 2026, +97,15 ₽ к предыдущей</t>
  </si>
  <si>
    <t>Серебро, учётная цена Банка России</t>
  </si>
  <si>
    <t>195,12 ₽ за грамм</t>
  </si>
  <si>
    <t>с 1 сентября 2026</t>
  </si>
  <si>
    <t>Индекс Мосбиржи, ориентир конца августа</t>
  </si>
  <si>
    <t>около 2 115 пунктов</t>
  </si>
  <si>
    <t>неделя 24–28 августа 2026, −0,9%</t>
  </si>
  <si>
    <t>Вклады на 3–12 месяцев</t>
  </si>
  <si>
    <t>около 13–15%</t>
  </si>
  <si>
    <t>как в разборе проекта</t>
  </si>
  <si>
    <t>Фонды денежного рынка (LQDT, AKMM и похожие)</t>
  </si>
  <si>
    <t>около 14% годовых</t>
  </si>
  <si>
    <t>близко к ключевой ставке, не вклад</t>
  </si>
  <si>
    <t>ОФЗ, доходность к погашению, ориентир лета</t>
  </si>
  <si>
    <t>около 15%</t>
  </si>
  <si>
    <t>цена бумаги прыгает, если ставка изменится</t>
  </si>
  <si>
    <t>Одна корзина, если решение принимаешь сегодня</t>
  </si>
  <si>
    <t>Первый месяц при настройках листа «Ввод»: с работы 20 000 ₽ + сняли с бота 1 000 ₽ = 21 000 ₽ в портфель рядом. Ниже — конкретная покупка на эти 21 000. Перед сделкой сверь цену в стакане.</t>
  </si>
  <si>
    <t>Доля</t>
  </si>
  <si>
    <t>Куда</t>
  </si>
  <si>
    <t>Что купить сегодня</t>
  </si>
  <si>
    <t>Ориентир</t>
  </si>
  <si>
    <t>На сколько</t>
  </si>
  <si>
    <t>Что получится</t>
  </si>
  <si>
    <t>40%</t>
  </si>
  <si>
    <t>Вклад 3–12 месяцев в крупном банке (в пределах страховки)</t>
  </si>
  <si>
    <t>13–15% годовых</t>
  </si>
  <si>
    <t>8 400 ₽</t>
  </si>
  <si>
    <t>Без лота: кладёшь всю сумму</t>
  </si>
  <si>
    <t>15%</t>
  </si>
  <si>
    <t>Почти как вклад</t>
  </si>
  <si>
    <t>Паи денежного рынка: LQDT, AKMM или SBMM — если не хочешь открывать вклад каждый месяц</t>
  </si>
  <si>
    <t>около ключевой 14%</t>
  </si>
  <si>
    <t>3 150 ₽</t>
  </si>
  <si>
    <t>Паи на всю сумму 3 150 ₽</t>
  </si>
  <si>
    <t>20%</t>
  </si>
  <si>
    <t>Один фонд на индекс Мосбиржи: TMOS (запасной тот же смысл — SBMX или EQMX)</t>
  </si>
  <si>
    <t>TMOS 5,21 ₽ (27.08.2026)</t>
  </si>
  <si>
    <t>4 200 ₽</t>
  </si>
  <si>
    <t>около 800 паёв TMOS. Не 15 разных компаний руками</t>
  </si>
  <si>
    <t>Фонд золота: TGLD, GOLD, SBGD или AKGD. Не слиток</t>
  </si>
  <si>
    <t>учёт Банка России 12 671,47 ₽/г</t>
  </si>
  <si>
    <t>паи на 3 150 ₽. Грамм слитка дороже всего этого куска</t>
  </si>
  <si>
    <t>10%</t>
  </si>
  <si>
    <t>Купить без займа и не трогать. Это не торговый счёт бота</t>
  </si>
  <si>
    <t>78 121 $ ≈ 6,78 млн ₽ за 1 BTC</t>
  </si>
  <si>
    <t>2 100 ₽</t>
  </si>
  <si>
    <t>≈ 0,00031 BTC</t>
  </si>
  <si>
    <t>Как купить золото на эту сумму</t>
  </si>
  <si>
    <t>На лист «Ввод» в золото по умолчанию идёт 15% новых взносов. В первый месяц при боте 5% это примерно: прибыль бота 5 000 ₽, сняли 1 000 ₽, с работы 20 000 ₽, всего в портфель 21 000 ₽, в золото ≈ 3 150 ₽.</t>
  </si>
  <si>
    <t>Как</t>
  </si>
  <si>
    <t>Тикер / что</t>
  </si>
  <si>
    <t>Ориентир цены</t>
  </si>
  <si>
    <t>На ≈ 3 150 ₽</t>
  </si>
  <si>
    <t>Плюс</t>
  </si>
  <si>
    <t>Минус</t>
  </si>
  <si>
    <t>Проще всего</t>
  </si>
  <si>
    <t>Фонд золота на Мосбирже: TGLD, GOLD, SBGD, AKGD</t>
  </si>
  <si>
    <t>смотри пай в стакане</t>
  </si>
  <si>
    <t>паи на всю сумму 3 150 ₽</t>
  </si>
  <si>
    <t>не надо хранить слиток, можно продать в биржевой день</t>
  </si>
  <si>
    <t>комиссия фонда, цена зависит от металла и рубля</t>
  </si>
  <si>
    <t>Слиток / монета</t>
  </si>
  <si>
    <t>золото 999 пробы</t>
  </si>
  <si>
    <t>12 671 ₽/г по Банку России</t>
  </si>
  <si>
    <t>на 3 150 ₽ даже 1 грамм не купить (нужно ≈ 12 700 ₽ на грамм)</t>
  </si>
  <si>
    <t>физический металл</t>
  </si>
  <si>
    <t>спред банка, хранение. Имеет смысл, когда в золоте уже десятки тысяч</t>
  </si>
  <si>
    <t>10 грамм</t>
  </si>
  <si>
    <t>мерный слиток</t>
  </si>
  <si>
    <t>≈ 126 715 ₽ без спреда</t>
  </si>
  <si>
    <t>не в первый месяц</t>
  </si>
  <si>
    <t>понятная штука</t>
  </si>
  <si>
    <t>дорого относительно ежемесячного взноса</t>
  </si>
  <si>
    <t>Акции компаний: если решаешь сегодня</t>
  </si>
  <si>
    <t>Главный совет таблицы: не собирать «пять любимых бумаг» на 4 000 ₽ в месяц. Купи один биржевой фонд на индекс Мосбиржи — внутри уже Сбер, Лукойл, нефть, банки. Ниже — если всё же хочешь видеть конкретные имена. Фонд за год к концу августа 2026 был в минусе примерно на 20% — акции прыгают.</t>
  </si>
  <si>
    <t>Приоритет</t>
  </si>
  <si>
    <t>Что купить</t>
  </si>
  <si>
    <t>Тикер</t>
  </si>
  <si>
    <t>Дата цены</t>
  </si>
  <si>
    <t>На ≈ 4 200 ₽ (20% первого взноса)</t>
  </si>
  <si>
    <t>Зачем в копилку на машину</t>
  </si>
  <si>
    <t>1. Лучше так</t>
  </si>
  <si>
    <t>Фонд «индекс Мосбиржи», дивиденды внутри пая</t>
  </si>
  <si>
    <t>TMOS</t>
  </si>
  <si>
    <t>5,21 ₽ за пай</t>
  </si>
  <si>
    <t>27.08.2026</t>
  </si>
  <si>
    <t>около 800 паёв</t>
  </si>
  <si>
    <t>Одна покупка, внутри много компаний. Расходы фонда около 0,8% в год.</t>
  </si>
  <si>
    <t>1. Тот же смысл</t>
  </si>
  <si>
    <t>Фонд «топ российских акций»</t>
  </si>
  <si>
    <t>SBMX</t>
  </si>
  <si>
    <t>15,13 ₽ за пай</t>
  </si>
  <si>
    <t>20.08.2026</t>
  </si>
  <si>
    <t>около 277 паёв</t>
  </si>
  <si>
    <t>Крупный фонд. За год к этой дате пай был примерно −22%.</t>
  </si>
  <si>
    <t>Фонд «индекс Мосбиржи»</t>
  </si>
  <si>
    <t>EQMX</t>
  </si>
  <si>
    <t>115,60 ₽ за пай</t>
  </si>
  <si>
    <t>36 паёв (чуть останется сдача)</t>
  </si>
  <si>
    <t>Дороже пай — меньше штук. Смысл тот же: индекс, не ставка на одну фирму.</t>
  </si>
  <si>
    <t>2. Если очень хочешь одну бумагу</t>
  </si>
  <si>
    <t>Сбербанк, обыкновенные</t>
  </si>
  <si>
    <t>SBER</t>
  </si>
  <si>
    <t>275,85 ₽</t>
  </si>
  <si>
    <t>01.09.2026</t>
  </si>
  <si>
    <t>15 акций ≈ 4 138 ₽</t>
  </si>
  <si>
    <t>Самая ликвидная акция. Банк зарабатывает при высокой ставке, но цена прыгает вместе с рынком.</t>
  </si>
  <si>
    <t>2. Не вместо фонда, а понимание индекса</t>
  </si>
  <si>
    <t>Лукойл</t>
  </si>
  <si>
    <t>LKOH</t>
  </si>
  <si>
    <t>4 324 ₽</t>
  </si>
  <si>
    <t>конец августа 2026</t>
  </si>
  <si>
    <t>1 акция ≈ 4 324 ₽ (весь кусок акций уйдёт в одну бумагу)</t>
  </si>
  <si>
    <t>Большая нефтяная компания, часто в топе индекса. Одна акция дорогая: на месячный взнос едва хватает штуки.</t>
  </si>
  <si>
    <t>Не база</t>
  </si>
  <si>
    <t>Не класть всё в одну нефтяную или одну «историю»</t>
  </si>
  <si>
    <t>—</t>
  </si>
  <si>
    <t>Для цели «машина через 2 года» важнее не угадать тикер, а не сжечь копилку. Индекс спокойнее эго.</t>
  </si>
  <si>
    <t>Биткоин вне бота (10% новых взносов ≈ 2 100 ₽ в первый месяц при 5% бота)</t>
  </si>
  <si>
    <t>Где</t>
  </si>
  <si>
    <t>Цена среза</t>
  </si>
  <si>
    <t>На 2 100 ₽</t>
  </si>
  <si>
    <t>Как не спутать с ботом</t>
  </si>
  <si>
    <t>Крупный обменник / биржа, без займа</t>
  </si>
  <si>
    <t>это ≈ 0,00031 BTC — пыль, но правило то же: купил и не трогать плечом</t>
  </si>
  <si>
    <t>Бот торгует своими 100 тысячами. Этот кусок — «купил и лежит», как в плане Б 10 тысяч на старте.</t>
  </si>
  <si>
    <t>Спокойный вклад и облигации (55% новых взносов ≈ 11 550 ₽ в первый месяц)</t>
  </si>
  <si>
    <t>На 11 550 ₽</t>
  </si>
  <si>
    <t>Зачем</t>
  </si>
  <si>
    <t>13–15% годовых при ключевой 14%</t>
  </si>
  <si>
    <t>вся сумма 11 550 ₽ на вклад, без лота</t>
  </si>
  <si>
    <t>Якорь копилки. В расчёте на листе «Ввод» стоит 14% за год — поменяй, когда откроешь вклад.</t>
  </si>
  <si>
    <t>Фонд денежного рынка LQDT / AKMM / SBMM</t>
  </si>
  <si>
    <t>около ключевой ставки</t>
  </si>
  <si>
    <t>паи на 11 550 ₽, если не хочешь заводить вклад каждый месяц</t>
  </si>
  <si>
    <t>Деньги можно вывести биржевым днём. Это не вклад: нет той же страховки банка.</t>
  </si>
  <si>
    <t>ОФЗ с погашением близко к 2028 (когда нужна машина)</t>
  </si>
  <si>
    <t>доходность к погашению летом около 15%</t>
  </si>
  <si>
    <t>смотри лот на Мосбирже (часто от 1 бумаги)</t>
  </si>
  <si>
    <t>Если ставка вырастет, цена бумаги может просесть до погашения. Для 24 месяцев часто проще вклад.</t>
  </si>
  <si>
    <t>Источники цен: Банк России (ставка, доллар, юань, учётные цены металлов с 01.09.2026); CoinGecko (биткоин); VBR (SBER 01.09.2026); Cbonds / страницы фондов (TMOS 27.08.2026, SBMX и EQMX 20.08.2026); Инвестминт (LKOH); Финаммаркет (индекс, неделя 24–28.08.2026). Пересчёт доходности на листе «Ввод» ты делаешь сам.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</si>
</sst>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₽&quot;"/>
    <numFmt numFmtId="166" formatCode="yyyy\-mm\-dd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  <family val="2"/>
      <charset val="204"/>
    </font>
    <font>
      <i/>
      <sz val="10"/>
      <color rgb="FF5C5C56"/>
      <name val="Calibri"/>
      <family val="2"/>
      <charset val="204"/>
    </font>
    <font>
      <b/>
      <sz val="12"/>
      <name val="Calibri"/>
      <family val="2"/>
      <charset val="204"/>
    </font>
    <font>
      <sz val="11"/>
      <name val="Calibri"/>
      <family val="2"/>
      <charset val="204"/>
    </font>
    <font>
      <b/>
      <sz val="11"/>
      <color rgb="FFB45309"/>
      <name val="Calibri"/>
      <family val="2"/>
      <charset val="204"/>
    </font>
    <font>
      <b/>
      <sz val="14"/>
      <name val="Calibri"/>
      <family val="2"/>
      <charset val="204"/>
    </font>
    <font>
      <b/>
      <sz val="11"/>
      <color rgb="FFFFFFFF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3C4"/>
      </patternFill>
    </fill>
    <fill>
      <patternFill patternType="solid">
        <fgColor rgb="FF1A1A18"/>
      </patternFill>
    </fill>
    <fill>
      <patternFill patternType="solid">
        <fgColor rgb="FFD8F3DC"/>
      </patternFill>
    </fill>
  </fills>
  <borders count="2">
    <border>
      <left/>
      <right/>
      <top/>
      <bottom/>
      <diagonal/>
    </border>
    <border>
      <left style="thin">
        <color rgb="FFD4D4CE"/>
      </left>
      <right style="thin">
        <color rgb="FFD4D4CE"/>
      </right>
      <top style="thin">
        <color rgb="FFD4D4CE"/>
      </top>
      <bottom style="thin">
        <color rgb="FFD4D4C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2" borderId="1" xfId="0" applyNumberFormat="1" applyFont="1" applyFill="1" applyBorder="1"/>
    <xf numFmtId="10" fontId="4" fillId="2" borderId="1" xfId="0" applyNumberFormat="1" applyFont="1" applyFill="1" applyBorder="1"/>
    <xf numFmtId="166" fontId="4" fillId="2" borderId="1" xfId="0" applyNumberFormat="1" applyFont="1" applyFill="1" applyBorder="1"/>
    <xf numFmtId="10" fontId="4" fillId="0" borderId="1" xfId="0" applyNumberFormat="1" applyFont="1" applyBorder="1"/>
    <xf numFmtId="0" fontId="5" fillId="0" borderId="0" xfId="0" applyFont="1"/>
    <xf numFmtId="164" fontId="4" fillId="0" borderId="1" xfId="0" applyNumberFormat="1" applyFont="1" applyBorder="1"/>
    <xf numFmtId="164" fontId="6" fillId="0" borderId="1" xfId="0" applyNumberFormat="1" applyFont="1" applyBorder="1"/>
    <xf numFmtId="0" fontId="3" fillId="0" borderId="1" xfId="0" applyFont="1" applyBorder="1"/>
    <xf numFmtId="0" fontId="7" fillId="3" borderId="1" xfId="0" applyFont="1" applyFill="1" applyBorder="1" applyAlignment="1">
      <alignment vertical="center" wrapText="1"/>
    </xf>
    <xf numFmtId="1" fontId="4" fillId="0" borderId="1" xfId="0" applyNumberFormat="1" applyFont="1" applyBorder="1"/>
    <xf numFmtId="166" fontId="4" fillId="0" borderId="1" xfId="0" applyNumberFormat="1" applyFont="1" applyBorder="1"/>
    <xf numFmtId="0" fontId="7" fillId="3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0" borderId="0" xfId="0"/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</cellXfs>
  <cellStyles count="1">
    <cellStyle name="Обычный" xfId="0" builtinId="0"/>
  </cellStyles>
  <dxfs count="2">
    <dxf>
      <fill>
        <patternFill patternType="solid">
          <fgColor rgb="FFFDE8C8"/>
        </patternFill>
      </fill>
    </dxf>
    <dxf>
      <fill>
        <patternFill patternType="solid">
          <fgColor rgb="FFD8F3D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Всего денег по месяцам, ₽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Месяцы!$O$1</c:f>
              <c:strCache>
                <c:ptCount val="1"/>
                <c:pt idx="0">
                  <c:v>Всего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Месяцы!$A$2:$A$26</c:f>
              <c:numCache>
                <c:formatCode>0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numCache>
            </c:numRef>
          </c:cat>
          <c:val>
            <c:numRef>
              <c:f>Месяцы!$O$2:$O$26</c:f>
              <c:numCache>
                <c:formatCode>#\ ##0" ₽"</c:formatCode>
                <c:ptCount val="25"/>
                <c:pt idx="0">
                  <c:v>100000</c:v>
                </c:pt>
                <c:pt idx="1">
                  <c:v>138000</c:v>
                </c:pt>
                <c:pt idx="2">
                  <c:v>178852.92486930414</c:v>
                </c:pt>
                <c:pt idx="3">
                  <c:v>222941.01499410113</c:v>
                </c:pt>
                <c:pt idx="4">
                  <c:v>270701.20262086351</c:v>
                </c:pt>
                <c:pt idx="5">
                  <c:v>322632.98251603253</c:v>
                </c:pt>
                <c:pt idx="6">
                  <c:v>379307.41591916094</c:v>
                </c:pt>
                <c:pt idx="7">
                  <c:v>441377.4309822605</c:v>
                </c:pt>
                <c:pt idx="8">
                  <c:v>509589.60638782935</c:v>
                </c:pt>
                <c:pt idx="9">
                  <c:v>584797.6517217143</c:v>
                </c:pt>
                <c:pt idx="10">
                  <c:v>667977.82893190521</c:v>
                </c:pt>
                <c:pt idx="11">
                  <c:v>760246.59438799671</c:v>
                </c:pt>
                <c:pt idx="12">
                  <c:v>862880.78130614874</c:v>
                </c:pt>
                <c:pt idx="13">
                  <c:v>977340.68835047144</c:v>
                </c:pt>
                <c:pt idx="14">
                  <c:v>1105296.4928985077</c:v>
                </c:pt>
                <c:pt idx="15">
                  <c:v>1248658.4677206695</c:v>
                </c:pt>
                <c:pt idx="16">
                  <c:v>1409611.5487634297</c:v>
                </c:pt>
                <c:pt idx="17">
                  <c:v>1590654.8805933681</c:v>
                </c:pt>
                <c:pt idx="18">
                  <c:v>1794647.0562833538</c:v>
                </c:pt>
                <c:pt idx="19">
                  <c:v>2024857.871738608</c:v>
                </c:pt>
                <c:pt idx="20">
                  <c:v>2285027.5325400382</c:v>
                </c:pt>
                <c:pt idx="21">
                  <c:v>2579434.3864653292</c:v>
                </c:pt>
                <c:pt idx="22">
                  <c:v>2912972.4093833454</c:v>
                </c:pt>
                <c:pt idx="23">
                  <c:v>3291239.8490055306</c:v>
                </c:pt>
                <c:pt idx="24">
                  <c:v>3720640.633223583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9C-42E1-9A69-5AFA2DBD6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Месяц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Рубли</a:t>
                </a:r>
              </a:p>
            </c:rich>
          </c:tx>
          <c:overlay val="1"/>
        </c:title>
        <c:numFmt formatCode="#\ ##0&quot; ₽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ru-RU"/>
              <a:t>Бот и портфель рядом, ₽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Месяцы!$F$1</c:f>
              <c:strCache>
                <c:ptCount val="1"/>
                <c:pt idx="0">
                  <c:v>Бот на конец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Месяцы!$A$2:$A$26</c:f>
              <c:numCache>
                <c:formatCode>0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numCache>
            </c:numRef>
          </c:cat>
          <c:val>
            <c:numRef>
              <c:f>Месяцы!$F$2:$F$26</c:f>
              <c:numCache>
                <c:formatCode>#\ ##0" ₽"</c:formatCode>
                <c:ptCount val="25"/>
                <c:pt idx="0">
                  <c:v>100000</c:v>
                </c:pt>
                <c:pt idx="1">
                  <c:v>114400</c:v>
                </c:pt>
                <c:pt idx="2">
                  <c:v>130873.60000000001</c:v>
                </c:pt>
                <c:pt idx="3">
                  <c:v>149719.39840000001</c:v>
                </c:pt>
                <c:pt idx="4">
                  <c:v>171278.99176959999</c:v>
                </c:pt>
                <c:pt idx="5">
                  <c:v>195943.1665844224</c:v>
                </c:pt>
                <c:pt idx="6">
                  <c:v>224158.98257257923</c:v>
                </c:pt>
                <c:pt idx="7">
                  <c:v>256437.87606303062</c:v>
                </c:pt>
                <c:pt idx="8">
                  <c:v>293364.93021610705</c:v>
                </c:pt>
                <c:pt idx="9">
                  <c:v>335609.48016722646</c:v>
                </c:pt>
                <c:pt idx="10">
                  <c:v>383937.24531130708</c:v>
                </c:pt>
                <c:pt idx="11">
                  <c:v>439224.20863613527</c:v>
                </c:pt>
                <c:pt idx="12">
                  <c:v>502472.49467973877</c:v>
                </c:pt>
                <c:pt idx="13">
                  <c:v>574828.5339136211</c:v>
                </c:pt>
                <c:pt idx="14">
                  <c:v>657603.84279718262</c:v>
                </c:pt>
                <c:pt idx="15">
                  <c:v>752298.79615997698</c:v>
                </c:pt>
                <c:pt idx="16">
                  <c:v>860629.82280701364</c:v>
                </c:pt>
                <c:pt idx="17">
                  <c:v>984560.51729122351</c:v>
                </c:pt>
                <c:pt idx="18">
                  <c:v>1126337.2317811598</c:v>
                </c:pt>
                <c:pt idx="19">
                  <c:v>1288529.7931576467</c:v>
                </c:pt>
                <c:pt idx="20">
                  <c:v>1474078.0833723478</c:v>
                </c:pt>
                <c:pt idx="21">
                  <c:v>1686345.3273779659</c:v>
                </c:pt>
                <c:pt idx="22">
                  <c:v>1929179.054520393</c:v>
                </c:pt>
                <c:pt idx="23">
                  <c:v>2206980.8383713295</c:v>
                </c:pt>
                <c:pt idx="24">
                  <c:v>2524786.0790968011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F2-4915-B95B-F62AB8AF9410}"/>
            </c:ext>
          </c:extLst>
        </c:ser>
        <c:ser>
          <c:idx val="1"/>
          <c:order val="1"/>
          <c:tx>
            <c:strRef>
              <c:f>Месяцы!$N$1</c:f>
              <c:strCache>
                <c:ptCount val="1"/>
                <c:pt idx="0">
                  <c:v>Портфель рядом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Месяцы!$A$2:$A$26</c:f>
              <c:numCache>
                <c:formatCode>0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numCache>
            </c:numRef>
          </c:cat>
          <c:val>
            <c:numRef>
              <c:f>Месяцы!$N$2:$N$26</c:f>
              <c:numCache>
                <c:formatCode>#\ ##0" ₽"</c:formatCode>
                <c:ptCount val="25"/>
                <c:pt idx="0">
                  <c:v>0</c:v>
                </c:pt>
                <c:pt idx="1">
                  <c:v>23600</c:v>
                </c:pt>
                <c:pt idx="2">
                  <c:v>47979.324869304139</c:v>
                </c:pt>
                <c:pt idx="3">
                  <c:v>73221.616594101142</c:v>
                </c:pt>
                <c:pt idx="4">
                  <c:v>99422.210851263517</c:v>
                </c:pt>
                <c:pt idx="5">
                  <c:v>126689.81593161014</c:v>
                </c:pt>
                <c:pt idx="6">
                  <c:v>155148.43334658167</c:v>
                </c:pt>
                <c:pt idx="7">
                  <c:v>184939.55491922988</c:v>
                </c:pt>
                <c:pt idx="8">
                  <c:v>216224.6761717223</c:v>
                </c:pt>
                <c:pt idx="9">
                  <c:v>249188.17155448787</c:v>
                </c:pt>
                <c:pt idx="10">
                  <c:v>284040.58362059813</c:v>
                </c:pt>
                <c:pt idx="11">
                  <c:v>321022.3857518615</c:v>
                </c:pt>
                <c:pt idx="12">
                  <c:v>360408.28662641003</c:v>
                </c:pt>
                <c:pt idx="13">
                  <c:v>402512.15443685028</c:v>
                </c:pt>
                <c:pt idx="14">
                  <c:v>447692.65010132513</c:v>
                </c:pt>
                <c:pt idx="15">
                  <c:v>496359.67156069254</c:v>
                </c:pt>
                <c:pt idx="16">
                  <c:v>548981.72595641599</c:v>
                </c:pt>
                <c:pt idx="17">
                  <c:v>606094.36330214457</c:v>
                </c:pt>
                <c:pt idx="18">
                  <c:v>668309.82450219395</c:v>
                </c:pt>
                <c:pt idx="19">
                  <c:v>736328.07858096133</c:v>
                </c:pt>
                <c:pt idx="20">
                  <c:v>810949.44916769071</c:v>
                </c:pt>
                <c:pt idx="21">
                  <c:v>893089.0590873633</c:v>
                </c:pt>
                <c:pt idx="22">
                  <c:v>983793.35486295237</c:v>
                </c:pt>
                <c:pt idx="23">
                  <c:v>1084259.0106342009</c:v>
                </c:pt>
                <c:pt idx="24">
                  <c:v>1195854.5541267816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F2-4915-B95B-F62AB8A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Рубли</a:t>
                </a:r>
              </a:p>
            </c:rich>
          </c:tx>
          <c:overlay val="1"/>
        </c:title>
        <c:numFmt formatCode="#\ ##0&quot; ₽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27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27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3"/>
  <sheetViews>
    <sheetView showGridLines="0" tabSelected="1" zoomScale="90" zoomScaleNormal="90" workbookViewId="0">
      <pane ySplit="2" topLeftCell="A3" activePane="bottomLeft" state="frozen"/>
      <selection pane="bottomLeft" activeCell="N11" sqref="N11"/>
    </sheetView>
  </sheetViews>
  <sheetFormatPr defaultRowHeight="15" x14ac:dyDescent="0.25"/>
  <cols>
    <col min="1" max="1" width="58" customWidth="1"/>
    <col min="2" max="2" width="12" customWidth="1"/>
    <col min="3" max="3" width="18" customWidth="1"/>
    <col min="4" max="4" width="24.5703125" customWidth="1"/>
    <col min="5" max="5" width="12" customWidth="1"/>
    <col min="6" max="6" width="14" customWidth="1"/>
  </cols>
  <sheetData>
    <row r="1" spans="1:6" ht="27.95" customHeight="1" x14ac:dyDescent="0.25">
      <c r="A1" s="21" t="s">
        <v>0</v>
      </c>
      <c r="B1" s="20"/>
      <c r="C1" s="20"/>
      <c r="D1" s="20"/>
      <c r="E1" s="20"/>
      <c r="F1" s="20"/>
    </row>
    <row r="2" spans="1:6" ht="21.75" customHeight="1" x14ac:dyDescent="0.25">
      <c r="A2" s="27" t="s">
        <v>1</v>
      </c>
      <c r="B2" s="28"/>
      <c r="C2" s="28"/>
      <c r="D2" s="28"/>
      <c r="E2" s="28"/>
      <c r="F2" s="28"/>
    </row>
    <row r="4" spans="1:6" ht="15.75" x14ac:dyDescent="0.25">
      <c r="A4" s="2" t="s">
        <v>2</v>
      </c>
    </row>
    <row r="5" spans="1:6" x14ac:dyDescent="0.25">
      <c r="A5" s="3" t="s">
        <v>3</v>
      </c>
      <c r="C5" s="4">
        <v>20000</v>
      </c>
    </row>
    <row r="6" spans="1:6" x14ac:dyDescent="0.25">
      <c r="A6" s="3" t="s">
        <v>4</v>
      </c>
      <c r="C6" s="4">
        <v>100000</v>
      </c>
    </row>
    <row r="7" spans="1:6" x14ac:dyDescent="0.25">
      <c r="A7" s="3" t="s">
        <v>5</v>
      </c>
      <c r="C7" s="5">
        <v>0.18</v>
      </c>
      <c r="D7" s="23" t="s">
        <v>6</v>
      </c>
    </row>
    <row r="8" spans="1:6" x14ac:dyDescent="0.25">
      <c r="A8" s="3" t="s">
        <v>7</v>
      </c>
      <c r="C8" s="5">
        <v>0.2</v>
      </c>
    </row>
    <row r="9" spans="1:6" x14ac:dyDescent="0.25">
      <c r="A9" s="3" t="s">
        <v>8</v>
      </c>
      <c r="C9" s="6">
        <v>46266</v>
      </c>
    </row>
    <row r="11" spans="1:6" ht="15.75" x14ac:dyDescent="0.25">
      <c r="A11" s="26" t="s">
        <v>9</v>
      </c>
    </row>
    <row r="12" spans="1:6" x14ac:dyDescent="0.25">
      <c r="A12" s="3" t="s">
        <v>10</v>
      </c>
      <c r="C12" s="5">
        <v>0.4</v>
      </c>
    </row>
    <row r="13" spans="1:6" x14ac:dyDescent="0.25">
      <c r="A13" s="3" t="s">
        <v>11</v>
      </c>
      <c r="C13" s="5">
        <v>0.15</v>
      </c>
    </row>
    <row r="14" spans="1:6" x14ac:dyDescent="0.25">
      <c r="A14" s="3" t="s">
        <v>12</v>
      </c>
      <c r="C14" s="5">
        <v>0.2</v>
      </c>
    </row>
    <row r="15" spans="1:6" x14ac:dyDescent="0.25">
      <c r="A15" s="3" t="s">
        <v>13</v>
      </c>
      <c r="C15" s="5">
        <v>0.15</v>
      </c>
    </row>
    <row r="16" spans="1:6" x14ac:dyDescent="0.25">
      <c r="A16" s="3" t="s">
        <v>14</v>
      </c>
      <c r="C16" s="5">
        <v>0.1</v>
      </c>
    </row>
    <row r="17" spans="1:6" x14ac:dyDescent="0.25">
      <c r="A17" s="3" t="s">
        <v>15</v>
      </c>
      <c r="C17" s="7">
        <f>C12+C13+C14+C15+C16</f>
        <v>1</v>
      </c>
      <c r="D17" s="8" t="str">
        <f>IF(ABS(C17-1)&lt;0.0001,"норм","поправь доли: сумма не 100%")</f>
        <v>норм</v>
      </c>
    </row>
    <row r="19" spans="1:6" ht="15.75" x14ac:dyDescent="0.25">
      <c r="A19" s="26" t="s">
        <v>16</v>
      </c>
    </row>
    <row r="20" spans="1:6" x14ac:dyDescent="0.25">
      <c r="A20" s="3" t="s">
        <v>17</v>
      </c>
      <c r="C20" s="5">
        <v>0.14000000000000001</v>
      </c>
      <c r="E20" s="3" t="s">
        <v>18</v>
      </c>
      <c r="F20" s="7">
        <f>(1+C20)^(1/12)-1</f>
        <v>1.0978851950173452E-2</v>
      </c>
    </row>
    <row r="21" spans="1:6" x14ac:dyDescent="0.25">
      <c r="A21" s="3" t="s">
        <v>19</v>
      </c>
      <c r="C21" s="5">
        <v>0.13500000000000001</v>
      </c>
      <c r="E21" s="3" t="s">
        <v>18</v>
      </c>
      <c r="F21" s="7">
        <f>(1+C21)^(1/12)-1</f>
        <v>1.0608597246586804E-2</v>
      </c>
    </row>
    <row r="22" spans="1:6" x14ac:dyDescent="0.25">
      <c r="A22" s="3" t="s">
        <v>20</v>
      </c>
      <c r="C22" s="5">
        <v>0.12</v>
      </c>
      <c r="E22" s="3" t="s">
        <v>18</v>
      </c>
      <c r="F22" s="7">
        <f>(1+C22)^(1/12)-1</f>
        <v>9.4887929345830457E-3</v>
      </c>
    </row>
    <row r="23" spans="1:6" x14ac:dyDescent="0.25">
      <c r="A23" s="3" t="s">
        <v>21</v>
      </c>
      <c r="C23" s="5">
        <v>0.08</v>
      </c>
      <c r="E23" s="3" t="s">
        <v>18</v>
      </c>
      <c r="F23" s="7">
        <f>(1+C23)^(1/12)-1</f>
        <v>6.4340301100034303E-3</v>
      </c>
    </row>
    <row r="24" spans="1:6" x14ac:dyDescent="0.25">
      <c r="A24" s="3" t="s">
        <v>22</v>
      </c>
      <c r="C24" s="5">
        <v>0.3</v>
      </c>
      <c r="E24" s="3" t="s">
        <v>18</v>
      </c>
      <c r="F24" s="7">
        <f>(1+C24)^(1/12)-1</f>
        <v>2.2104450593615876E-2</v>
      </c>
    </row>
    <row r="26" spans="1:6" ht="15.75" x14ac:dyDescent="0.25">
      <c r="A26" s="2" t="s">
        <v>23</v>
      </c>
    </row>
    <row r="27" spans="1:6" x14ac:dyDescent="0.25">
      <c r="A27" s="3" t="s">
        <v>24</v>
      </c>
      <c r="C27" s="4">
        <v>3990000</v>
      </c>
    </row>
    <row r="28" spans="1:6" x14ac:dyDescent="0.25">
      <c r="A28" s="3" t="s">
        <v>25</v>
      </c>
      <c r="C28" s="4">
        <v>5720000</v>
      </c>
    </row>
    <row r="30" spans="1:6" ht="15.75" x14ac:dyDescent="0.25">
      <c r="A30" s="2" t="s">
        <v>26</v>
      </c>
    </row>
    <row r="31" spans="1:6" x14ac:dyDescent="0.25">
      <c r="A31" s="3" t="s">
        <v>27</v>
      </c>
      <c r="C31" s="9">
        <f>Месяцы!F26</f>
        <v>2524786.0790968011</v>
      </c>
    </row>
    <row r="32" spans="1:6" x14ac:dyDescent="0.25">
      <c r="A32" s="3" t="s">
        <v>28</v>
      </c>
      <c r="C32" s="9">
        <f>Месяцы!I26</f>
        <v>477558.83980397583</v>
      </c>
    </row>
    <row r="33" spans="1:6" x14ac:dyDescent="0.25">
      <c r="A33" s="3" t="s">
        <v>29</v>
      </c>
      <c r="C33" s="9">
        <f>Месяцы!J26</f>
        <v>178501.28799445639</v>
      </c>
    </row>
    <row r="34" spans="1:6" x14ac:dyDescent="0.25">
      <c r="A34" s="3" t="s">
        <v>30</v>
      </c>
      <c r="C34" s="9">
        <f>Месяцы!K26</f>
        <v>235672.43196270062</v>
      </c>
    </row>
    <row r="35" spans="1:6" x14ac:dyDescent="0.25">
      <c r="A35" s="3" t="s">
        <v>31</v>
      </c>
      <c r="C35" s="9">
        <f>Месяцы!L26</f>
        <v>172116.56256258662</v>
      </c>
    </row>
    <row r="36" spans="1:6" x14ac:dyDescent="0.25">
      <c r="A36" s="3" t="s">
        <v>32</v>
      </c>
      <c r="C36" s="9">
        <f>Месяцы!M26</f>
        <v>132005.43180306224</v>
      </c>
    </row>
    <row r="37" spans="1:6" ht="15.75" x14ac:dyDescent="0.25">
      <c r="A37" s="2" t="s">
        <v>33</v>
      </c>
      <c r="C37" s="9">
        <f>C32+C33+C34+C35+C36</f>
        <v>1195854.5541267816</v>
      </c>
    </row>
    <row r="38" spans="1:6" ht="18.75" x14ac:dyDescent="0.3">
      <c r="A38" s="2" t="s">
        <v>34</v>
      </c>
      <c r="C38" s="10">
        <f>C31+C37</f>
        <v>3720640.633223583</v>
      </c>
    </row>
    <row r="40" spans="1:6" ht="15.75" x14ac:dyDescent="0.25">
      <c r="A40" s="3" t="s">
        <v>35</v>
      </c>
      <c r="C40" s="11" t="str">
        <f>IF(C38&gt;=C28,"да, на салон",IF(C38&gt;=C27,"да, на вторичку","нет"))</f>
        <v>нет</v>
      </c>
    </row>
    <row r="42" spans="1:6" x14ac:dyDescent="0.25">
      <c r="A42" s="19" t="s">
        <v>36</v>
      </c>
      <c r="B42" s="20"/>
      <c r="C42" s="20"/>
      <c r="D42" s="20"/>
      <c r="E42" s="20"/>
      <c r="F42" s="20"/>
    </row>
    <row r="43" spans="1:6" x14ac:dyDescent="0.25">
      <c r="A43" s="20"/>
      <c r="B43" s="20"/>
      <c r="C43" s="20"/>
      <c r="D43" s="20"/>
      <c r="E43" s="20"/>
      <c r="F43" s="20"/>
    </row>
  </sheetData>
  <mergeCells count="3">
    <mergeCell ref="A2:F2"/>
    <mergeCell ref="A1:F1"/>
    <mergeCell ref="A42:F43"/>
  </mergeCells>
  <conditionalFormatting sqref="C40">
    <cfRule type="expression" dxfId="1" priority="1">
      <formula>C40="да, на салон"</formula>
    </cfRule>
    <cfRule type="expression" dxfId="0" priority="2">
      <formula>C40="да, на вторичку"</formula>
    </cfRule>
  </conditionalFormatting>
  <dataValidations count="1">
    <dataValidation type="decimal" error="Поставь долю от 0% до 200%" sqref="C7:C8 C12:C16 C20:C24" xr:uid="{00000000-0002-0000-0000-000000000000}">
      <formula1>0</formula1>
      <formula2>2</formula2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6"/>
  <sheetViews>
    <sheetView showGridLines="0" workbookViewId="0">
      <pane ySplit="1" topLeftCell="A14" activePane="bottomLeft" state="frozen"/>
      <selection pane="bottomLeft" activeCell="F9" sqref="F9"/>
    </sheetView>
  </sheetViews>
  <sheetFormatPr defaultRowHeight="15" x14ac:dyDescent="0.25"/>
  <cols>
    <col min="1" max="1" width="10" customWidth="1"/>
    <col min="2" max="2" width="12" customWidth="1"/>
    <col min="3" max="4" width="16" customWidth="1"/>
    <col min="5" max="5" width="18" customWidth="1"/>
    <col min="6" max="6" width="16" customWidth="1"/>
    <col min="7" max="7" width="14" customWidth="1"/>
    <col min="8" max="8" width="20" customWidth="1"/>
    <col min="9" max="9" width="14" customWidth="1"/>
    <col min="10" max="10" width="18" customWidth="1"/>
    <col min="11" max="12" width="14" customWidth="1"/>
    <col min="13" max="14" width="18" customWidth="1"/>
    <col min="15" max="15" width="16" customWidth="1"/>
  </cols>
  <sheetData>
    <row r="1" spans="1:15" s="25" customFormat="1" ht="36" customHeight="1" x14ac:dyDescent="0.25">
      <c r="A1" s="24" t="s">
        <v>37</v>
      </c>
      <c r="B1" s="24" t="s">
        <v>38</v>
      </c>
      <c r="C1" s="24" t="s">
        <v>39</v>
      </c>
      <c r="D1" s="24" t="s">
        <v>40</v>
      </c>
      <c r="E1" s="24" t="s">
        <v>41</v>
      </c>
      <c r="F1" s="24" t="s">
        <v>42</v>
      </c>
      <c r="G1" s="24" t="s">
        <v>43</v>
      </c>
      <c r="H1" s="24" t="s">
        <v>44</v>
      </c>
      <c r="I1" s="24" t="s">
        <v>45</v>
      </c>
      <c r="J1" s="24" t="s">
        <v>46</v>
      </c>
      <c r="K1" s="24" t="s">
        <v>47</v>
      </c>
      <c r="L1" s="24" t="s">
        <v>13</v>
      </c>
      <c r="M1" s="24" t="s">
        <v>48</v>
      </c>
      <c r="N1" s="24" t="s">
        <v>49</v>
      </c>
      <c r="O1" s="24" t="s">
        <v>50</v>
      </c>
    </row>
    <row r="2" spans="1:15" x14ac:dyDescent="0.25">
      <c r="A2" s="13">
        <v>0</v>
      </c>
      <c r="B2" s="14">
        <f>Ввод!C9</f>
        <v>46266</v>
      </c>
      <c r="C2" s="9">
        <v>0</v>
      </c>
      <c r="D2" s="9">
        <v>0</v>
      </c>
      <c r="E2" s="9">
        <v>0</v>
      </c>
      <c r="F2" s="9">
        <f>Ввод!C6</f>
        <v>100000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f t="shared" ref="N2:N26" si="0">I2+J2+K2+L2+M2</f>
        <v>0</v>
      </c>
      <c r="O2" s="9">
        <f t="shared" ref="O2:O26" si="1">F2+N2</f>
        <v>100000</v>
      </c>
    </row>
    <row r="3" spans="1:15" x14ac:dyDescent="0.25">
      <c r="A3" s="13">
        <v>1</v>
      </c>
      <c r="B3" s="14">
        <f t="shared" ref="B3:B26" si="2">EDATE($B$2,A3)</f>
        <v>46296</v>
      </c>
      <c r="C3" s="9">
        <f t="shared" ref="C3:C26" si="3">F2</f>
        <v>100000</v>
      </c>
      <c r="D3" s="9">
        <f>C3*Ввод!$C$7</f>
        <v>18000</v>
      </c>
      <c r="E3" s="9">
        <f>IF(D3&gt;0,D3*Ввод!$C$8,0)</f>
        <v>3600</v>
      </c>
      <c r="F3" s="9">
        <f t="shared" ref="F3:F26" si="4">C3+D3-E3</f>
        <v>114400</v>
      </c>
      <c r="G3" s="9">
        <f>Ввод!$C$5</f>
        <v>20000</v>
      </c>
      <c r="H3" s="9">
        <f t="shared" ref="H3:H26" si="5">E3+G3</f>
        <v>23600</v>
      </c>
      <c r="I3" s="9">
        <f>I2*(1+Ввод!$F$20)+H3*Ввод!$C$12</f>
        <v>9440</v>
      </c>
      <c r="J3" s="9">
        <f>J2*(1+Ввод!$F$21)+H3*Ввод!$C$13</f>
        <v>3540</v>
      </c>
      <c r="K3" s="9">
        <f>K2*(1+Ввод!$F$22)+H3*Ввод!$C$14</f>
        <v>4720</v>
      </c>
      <c r="L3" s="9">
        <f>L2*(1+Ввод!$F$23)+H3*Ввод!$C$15</f>
        <v>3540</v>
      </c>
      <c r="M3" s="9">
        <f>M2*(1+Ввод!$F$24)+H3*Ввод!$C$16</f>
        <v>2360</v>
      </c>
      <c r="N3" s="9">
        <f t="shared" si="0"/>
        <v>23600</v>
      </c>
      <c r="O3" s="9">
        <f t="shared" si="1"/>
        <v>138000</v>
      </c>
    </row>
    <row r="4" spans="1:15" x14ac:dyDescent="0.25">
      <c r="A4" s="13">
        <v>2</v>
      </c>
      <c r="B4" s="14">
        <f t="shared" si="2"/>
        <v>46327</v>
      </c>
      <c r="C4" s="9">
        <f t="shared" si="3"/>
        <v>114400</v>
      </c>
      <c r="D4" s="9">
        <f>C4*Ввод!$C$7</f>
        <v>20592</v>
      </c>
      <c r="E4" s="9">
        <f>IF(D4&gt;0,D4*Ввод!$C$8,0)</f>
        <v>4118.4000000000005</v>
      </c>
      <c r="F4" s="9">
        <f t="shared" si="4"/>
        <v>130873.60000000001</v>
      </c>
      <c r="G4" s="9">
        <f>Ввод!$C$5</f>
        <v>20000</v>
      </c>
      <c r="H4" s="9">
        <f t="shared" si="5"/>
        <v>24118.400000000001</v>
      </c>
      <c r="I4" s="9">
        <f>I3*(1+Ввод!$F$20)+H4*Ввод!$C$12</f>
        <v>19191.000362409635</v>
      </c>
      <c r="J4" s="9">
        <f>J3*(1+Ввод!$F$21)+H4*Ввод!$C$13</f>
        <v>7195.3144342529176</v>
      </c>
      <c r="K4" s="9">
        <f>K3*(1+Ввод!$F$22)+H4*Ввод!$C$14</f>
        <v>9588.4671026512333</v>
      </c>
      <c r="L4" s="9">
        <f>L3*(1+Ввод!$F$23)+H4*Ввод!$C$15</f>
        <v>7180.5364665894122</v>
      </c>
      <c r="M4" s="9">
        <f>M3*(1+Ввод!$F$24)+H4*Ввод!$C$16</f>
        <v>4824.0065034009331</v>
      </c>
      <c r="N4" s="9">
        <f t="shared" si="0"/>
        <v>47979.324869304139</v>
      </c>
      <c r="O4" s="9">
        <f t="shared" si="1"/>
        <v>178852.92486930414</v>
      </c>
    </row>
    <row r="5" spans="1:15" x14ac:dyDescent="0.25">
      <c r="A5" s="13">
        <v>3</v>
      </c>
      <c r="B5" s="14">
        <f t="shared" si="2"/>
        <v>46357</v>
      </c>
      <c r="C5" s="9">
        <f t="shared" si="3"/>
        <v>130873.60000000001</v>
      </c>
      <c r="D5" s="9">
        <f>C5*Ввод!$C$7</f>
        <v>23557.248</v>
      </c>
      <c r="E5" s="9">
        <f>IF(D5&gt;0,D5*Ввод!$C$8,0)</f>
        <v>4711.4495999999999</v>
      </c>
      <c r="F5" s="9">
        <f t="shared" si="4"/>
        <v>149719.39840000001</v>
      </c>
      <c r="G5" s="9">
        <f>Ввод!$C$5</f>
        <v>20000</v>
      </c>
      <c r="H5" s="9">
        <f t="shared" si="5"/>
        <v>24711.4496</v>
      </c>
      <c r="I5" s="9">
        <f>I4*(1+Ввод!$F$20)+H5*Ввод!$C$12</f>
        <v>29286.27535416426</v>
      </c>
      <c r="J5" s="9">
        <f>J4*(1+Ввод!$F$21)+H5*Ввод!$C$13</f>
        <v>10978.364067148459</v>
      </c>
      <c r="K5" s="9">
        <f>K4*(1+Ввод!$F$22)+H5*Ввод!$C$14</f>
        <v>14621.740001548351</v>
      </c>
      <c r="L5" s="9">
        <f>L4*(1+Ввод!$F$23)+H5*Ввод!$C$15</f>
        <v>10933.453694421425</v>
      </c>
      <c r="M5" s="9">
        <f>M4*(1+Ввод!$F$24)+H5*Ввод!$C$16</f>
        <v>7401.7834768186403</v>
      </c>
      <c r="N5" s="9">
        <f t="shared" si="0"/>
        <v>73221.616594101142</v>
      </c>
      <c r="O5" s="9">
        <f t="shared" si="1"/>
        <v>222941.01499410113</v>
      </c>
    </row>
    <row r="6" spans="1:15" x14ac:dyDescent="0.25">
      <c r="A6" s="13">
        <v>4</v>
      </c>
      <c r="B6" s="14">
        <f t="shared" si="2"/>
        <v>46388</v>
      </c>
      <c r="C6" s="9">
        <f t="shared" si="3"/>
        <v>149719.39840000001</v>
      </c>
      <c r="D6" s="9">
        <f>C6*Ввод!$C$7</f>
        <v>26949.491711999999</v>
      </c>
      <c r="E6" s="9">
        <f>IF(D6&gt;0,D6*Ввод!$C$8,0)</f>
        <v>5389.8983423999998</v>
      </c>
      <c r="F6" s="9">
        <f t="shared" si="4"/>
        <v>171278.99176959999</v>
      </c>
      <c r="G6" s="9">
        <f>Ввод!$C$5</f>
        <v>20000</v>
      </c>
      <c r="H6" s="9">
        <f t="shared" si="5"/>
        <v>25389.8983424</v>
      </c>
      <c r="I6" s="9">
        <f>I5*(1+Ввод!$F$20)+H6*Ввод!$C$12</f>
        <v>39763.764372409642</v>
      </c>
      <c r="J6" s="9">
        <f>J5*(1+Ввод!$F$21)+H6*Ввод!$C$13</f>
        <v>14903.313861323237</v>
      </c>
      <c r="K6" s="9">
        <f>K5*(1+Ввод!$F$22)+H6*Ввод!$C$14</f>
        <v>19838.462333246353</v>
      </c>
      <c r="L6" s="9">
        <f>L5*(1+Ввод!$F$23)+H6*Ввод!$C$15</f>
        <v>14812.284616057661</v>
      </c>
      <c r="M6" s="9">
        <f>M5*(1+Ввод!$F$24)+H6*Ввод!$C$16</f>
        <v>10104.38566822662</v>
      </c>
      <c r="N6" s="9">
        <f t="shared" si="0"/>
        <v>99422.210851263517</v>
      </c>
      <c r="O6" s="9">
        <f t="shared" si="1"/>
        <v>270701.20262086351</v>
      </c>
    </row>
    <row r="7" spans="1:15" x14ac:dyDescent="0.25">
      <c r="A7" s="13">
        <v>5</v>
      </c>
      <c r="B7" s="14">
        <f t="shared" si="2"/>
        <v>46419</v>
      </c>
      <c r="C7" s="9">
        <f t="shared" si="3"/>
        <v>171278.99176959999</v>
      </c>
      <c r="D7" s="9">
        <f>C7*Ввод!$C$7</f>
        <v>30830.218518527996</v>
      </c>
      <c r="E7" s="9">
        <f>IF(D7&gt;0,D7*Ввод!$C$8,0)</f>
        <v>6166.0437037055999</v>
      </c>
      <c r="F7" s="9">
        <f t="shared" si="4"/>
        <v>195943.1665844224</v>
      </c>
      <c r="G7" s="9">
        <f>Ввод!$C$5</f>
        <v>20000</v>
      </c>
      <c r="H7" s="9">
        <f t="shared" si="5"/>
        <v>26166.0437037056</v>
      </c>
      <c r="I7" s="9">
        <f>I6*(1+Ввод!$F$20)+H7*Ввод!$C$12</f>
        <v>50666.742335918148</v>
      </c>
      <c r="J7" s="9">
        <f>J6*(1+Ввод!$F$21)+H7*Ввод!$C$13</f>
        <v>18986.323671273331</v>
      </c>
      <c r="K7" s="9">
        <f>K6*(1+Ввод!$F$22)+H7*Ввод!$C$14</f>
        <v>25259.914135208172</v>
      </c>
      <c r="L7" s="9">
        <f>L6*(1+Ввод!$F$23)+H7*Ввод!$C$15</f>
        <v>18832.493856831155</v>
      </c>
      <c r="M7" s="9">
        <f>M6*(1+Ввод!$F$24)+H7*Ввод!$C$16</f>
        <v>12944.341932379335</v>
      </c>
      <c r="N7" s="9">
        <f t="shared" si="0"/>
        <v>126689.81593161014</v>
      </c>
      <c r="O7" s="9">
        <f t="shared" si="1"/>
        <v>322632.98251603253</v>
      </c>
    </row>
    <row r="8" spans="1:15" x14ac:dyDescent="0.25">
      <c r="A8" s="13">
        <v>6</v>
      </c>
      <c r="B8" s="14">
        <f t="shared" si="2"/>
        <v>46447</v>
      </c>
      <c r="C8" s="9">
        <f t="shared" si="3"/>
        <v>195943.1665844224</v>
      </c>
      <c r="D8" s="9">
        <f>C8*Ввод!$C$7</f>
        <v>35269.769985196035</v>
      </c>
      <c r="E8" s="9">
        <f>IF(D8&gt;0,D8*Ввод!$C$8,0)</f>
        <v>7053.953997039207</v>
      </c>
      <c r="F8" s="9">
        <f t="shared" si="4"/>
        <v>224158.98257257923</v>
      </c>
      <c r="G8" s="9">
        <f>Ввод!$C$5</f>
        <v>20000</v>
      </c>
      <c r="H8" s="9">
        <f t="shared" si="5"/>
        <v>27053.953997039207</v>
      </c>
      <c r="I8" s="9">
        <f>I7*(1+Ввод!$F$20)+H8*Ввод!$C$12</f>
        <v>62044.586597637463</v>
      </c>
      <c r="J8" s="9">
        <f>J7*(1+Ввод!$F$21)+H8*Ввод!$C$13</f>
        <v>23245.835031851089</v>
      </c>
      <c r="K8" s="9">
        <f>K7*(1+Ввод!$F$22)+H8*Ввод!$C$14</f>
        <v>30910.39102939035</v>
      </c>
      <c r="L8" s="9">
        <f>L7*(1+Ввод!$F$23)+H8*Ввод!$C$15</f>
        <v>23011.755788908344</v>
      </c>
      <c r="M8" s="9">
        <f>M7*(1+Ввод!$F$24)+H8*Ввод!$C$16</f>
        <v>15935.864898794405</v>
      </c>
      <c r="N8" s="9">
        <f t="shared" si="0"/>
        <v>155148.43334658167</v>
      </c>
      <c r="O8" s="9">
        <f t="shared" si="1"/>
        <v>379307.41591916094</v>
      </c>
    </row>
    <row r="9" spans="1:15" x14ac:dyDescent="0.25">
      <c r="A9" s="13">
        <v>7</v>
      </c>
      <c r="B9" s="14">
        <f t="shared" si="2"/>
        <v>46478</v>
      </c>
      <c r="C9" s="9">
        <f t="shared" si="3"/>
        <v>224158.98257257923</v>
      </c>
      <c r="D9" s="9">
        <f>C9*Ввод!$C$7</f>
        <v>40348.616863064257</v>
      </c>
      <c r="E9" s="9">
        <f>IF(D9&gt;0,D9*Ввод!$C$8,0)</f>
        <v>8069.7233726128516</v>
      </c>
      <c r="F9" s="9">
        <f t="shared" si="4"/>
        <v>256437.87606303062</v>
      </c>
      <c r="G9" s="9">
        <f>Ввод!$C$5</f>
        <v>20000</v>
      </c>
      <c r="H9" s="9">
        <f t="shared" si="5"/>
        <v>28069.723372612851</v>
      </c>
      <c r="I9" s="9">
        <f>I8*(1+Ввод!$F$20)+H9*Ввод!$C$12</f>
        <v>73953.654277247784</v>
      </c>
      <c r="J9" s="9">
        <f>J8*(1+Ввод!$F$21)+H9*Ввод!$C$13</f>
        <v>27702.89923925652</v>
      </c>
      <c r="K9" s="9">
        <f>K8*(1+Ввод!$F$22)+H9*Ввод!$C$14</f>
        <v>36817.638003917797</v>
      </c>
      <c r="L9" s="9">
        <f>L8*(1+Ввод!$F$23)+H9*Ввод!$C$15</f>
        <v>27370.272624430152</v>
      </c>
      <c r="M9" s="9">
        <f>M8*(1+Ввод!$F$24)+H9*Ввод!$C$16</f>
        <v>19095.09077437763</v>
      </c>
      <c r="N9" s="9">
        <f t="shared" si="0"/>
        <v>184939.55491922988</v>
      </c>
      <c r="O9" s="9">
        <f t="shared" si="1"/>
        <v>441377.4309822605</v>
      </c>
    </row>
    <row r="10" spans="1:15" x14ac:dyDescent="0.25">
      <c r="A10" s="13">
        <v>8</v>
      </c>
      <c r="B10" s="14">
        <f t="shared" si="2"/>
        <v>46508</v>
      </c>
      <c r="C10" s="9">
        <f t="shared" si="3"/>
        <v>256437.87606303062</v>
      </c>
      <c r="D10" s="9">
        <f>C10*Ввод!$C$7</f>
        <v>46158.81769134551</v>
      </c>
      <c r="E10" s="9">
        <f>IF(D10&gt;0,D10*Ввод!$C$8,0)</f>
        <v>9231.7635382691024</v>
      </c>
      <c r="F10" s="9">
        <f t="shared" si="4"/>
        <v>293364.93021610705</v>
      </c>
      <c r="G10" s="9">
        <f>Ввод!$C$5</f>
        <v>20000</v>
      </c>
      <c r="H10" s="9">
        <f t="shared" si="5"/>
        <v>29231.763538269101</v>
      </c>
      <c r="I10" s="9">
        <f>I9*(1+Ввод!$F$20)+H10*Ввод!$C$12</f>
        <v>86458.285914039647</v>
      </c>
      <c r="J10" s="9">
        <f>J9*(1+Ввод!$F$21)+H10*Ввод!$C$13</f>
        <v>32381.552670588935</v>
      </c>
      <c r="K10" s="9">
        <f>K9*(1+Ввод!$F$22)+H10*Ввод!$C$14</f>
        <v>43013.345654931232</v>
      </c>
      <c r="L10" s="9">
        <f>L9*(1+Ввод!$F$23)+H10*Ввод!$C$15</f>
        <v>31931.138313355103</v>
      </c>
      <c r="M10" s="9">
        <f>M9*(1+Ввод!$F$24)+H10*Ввод!$C$16</f>
        <v>22440.353618807381</v>
      </c>
      <c r="N10" s="9">
        <f t="shared" si="0"/>
        <v>216224.6761717223</v>
      </c>
      <c r="O10" s="9">
        <f t="shared" si="1"/>
        <v>509589.60638782935</v>
      </c>
    </row>
    <row r="11" spans="1:15" x14ac:dyDescent="0.25">
      <c r="A11" s="13">
        <v>9</v>
      </c>
      <c r="B11" s="14">
        <f t="shared" si="2"/>
        <v>46539</v>
      </c>
      <c r="C11" s="9">
        <f t="shared" si="3"/>
        <v>293364.93021610705</v>
      </c>
      <c r="D11" s="9">
        <f>C11*Ввод!$C$7</f>
        <v>52805.687438899266</v>
      </c>
      <c r="E11" s="9">
        <f>IF(D11&gt;0,D11*Ввод!$C$8,0)</f>
        <v>10561.137487779853</v>
      </c>
      <c r="F11" s="9">
        <f t="shared" si="4"/>
        <v>335609.48016722646</v>
      </c>
      <c r="G11" s="9">
        <f>Ввод!$C$5</f>
        <v>20000</v>
      </c>
      <c r="H11" s="9">
        <f t="shared" si="5"/>
        <v>30561.137487779852</v>
      </c>
      <c r="I11" s="9">
        <f>I10*(1+Ввод!$F$20)+H11*Ввод!$C$12</f>
        <v>99631.953630067597</v>
      </c>
      <c r="J11" s="9">
        <f>J10*(1+Ввод!$F$21)+H11*Ввод!$C$13</f>
        <v>37309.246144257326</v>
      </c>
      <c r="K11" s="9">
        <f>K10*(1+Ввод!$F$22)+H11*Ввод!$C$14</f>
        <v>49533.71788283049</v>
      </c>
      <c r="L11" s="9">
        <f>L10*(1+Ввод!$F$23)+H11*Ввод!$C$15</f>
        <v>36720.754841876893</v>
      </c>
      <c r="M11" s="9">
        <f>M10*(1+Ввод!$F$24)+H11*Ввод!$C$16</f>
        <v>25992.499055455562</v>
      </c>
      <c r="N11" s="9">
        <f t="shared" si="0"/>
        <v>249188.17155448787</v>
      </c>
      <c r="O11" s="9">
        <f t="shared" si="1"/>
        <v>584797.6517217143</v>
      </c>
    </row>
    <row r="12" spans="1:15" x14ac:dyDescent="0.25">
      <c r="A12" s="13">
        <v>10</v>
      </c>
      <c r="B12" s="14">
        <f t="shared" si="2"/>
        <v>46569</v>
      </c>
      <c r="C12" s="9">
        <f t="shared" si="3"/>
        <v>335609.48016722646</v>
      </c>
      <c r="D12" s="9">
        <f>C12*Ввод!$C$7</f>
        <v>60409.706430100763</v>
      </c>
      <c r="E12" s="9">
        <f>IF(D12&gt;0,D12*Ввод!$C$8,0)</f>
        <v>12081.941286020154</v>
      </c>
      <c r="F12" s="9">
        <f t="shared" si="4"/>
        <v>383937.24531130708</v>
      </c>
      <c r="G12" s="9">
        <f>Ввод!$C$5</f>
        <v>20000</v>
      </c>
      <c r="H12" s="9">
        <f t="shared" si="5"/>
        <v>32081.941286020156</v>
      </c>
      <c r="I12" s="9">
        <f>I11*(1+Ввод!$F$20)+H12*Ввод!$C$12</f>
        <v>113558.57461288672</v>
      </c>
      <c r="J12" s="9">
        <f>J11*(1+Ввод!$F$21)+H12*Ввод!$C$13</f>
        <v>42517.336103078545</v>
      </c>
      <c r="K12" s="9">
        <f>K11*(1+Ввод!$F$22)+H12*Ввод!$C$14</f>
        <v>56420.121332304756</v>
      </c>
      <c r="L12" s="9">
        <f>L11*(1+Ввод!$F$23)+H12*Ввод!$C$15</f>
        <v>41769.308477094608</v>
      </c>
      <c r="M12" s="9">
        <f>M11*(1+Ввод!$F$24)+H12*Ввод!$C$16</f>
        <v>29775.243095233502</v>
      </c>
      <c r="N12" s="9">
        <f t="shared" si="0"/>
        <v>284040.58362059813</v>
      </c>
      <c r="O12" s="9">
        <f t="shared" si="1"/>
        <v>667977.82893190521</v>
      </c>
    </row>
    <row r="13" spans="1:15" x14ac:dyDescent="0.25">
      <c r="A13" s="13">
        <v>11</v>
      </c>
      <c r="B13" s="14">
        <f t="shared" si="2"/>
        <v>46600</v>
      </c>
      <c r="C13" s="9">
        <f t="shared" si="3"/>
        <v>383937.24531130708</v>
      </c>
      <c r="D13" s="9">
        <f>C13*Ввод!$C$7</f>
        <v>69108.704156035266</v>
      </c>
      <c r="E13" s="9">
        <f>IF(D13&gt;0,D13*Ввод!$C$8,0)</f>
        <v>13821.740831207055</v>
      </c>
      <c r="F13" s="9">
        <f t="shared" si="4"/>
        <v>439224.20863613527</v>
      </c>
      <c r="G13" s="9">
        <f>Ввод!$C$5</f>
        <v>20000</v>
      </c>
      <c r="H13" s="9">
        <f t="shared" si="5"/>
        <v>33821.740831207055</v>
      </c>
      <c r="I13" s="9">
        <f>I12*(1+Ввод!$F$20)+H13*Ввод!$C$12</f>
        <v>128334.01372371716</v>
      </c>
      <c r="J13" s="9">
        <f>J12*(1+Ввод!$F$21)+H13*Ввод!$C$13</f>
        <v>48041.646522474926</v>
      </c>
      <c r="K13" s="9">
        <f>K12*(1+Ввод!$F$22)+H13*Ввод!$C$14</f>
        <v>63719.82834721246</v>
      </c>
      <c r="L13" s="9">
        <f>L12*(1+Ввод!$F$23)+H13*Ввод!$C$15</f>
        <v>47111.314590191309</v>
      </c>
      <c r="M13" s="9">
        <f>M12*(1+Ввод!$F$24)+H13*Ввод!$C$16</f>
        <v>33815.582568265694</v>
      </c>
      <c r="N13" s="9">
        <f t="shared" si="0"/>
        <v>321022.3857518615</v>
      </c>
      <c r="O13" s="9">
        <f t="shared" si="1"/>
        <v>760246.59438799671</v>
      </c>
    </row>
    <row r="14" spans="1:15" x14ac:dyDescent="0.25">
      <c r="A14" s="13">
        <v>12</v>
      </c>
      <c r="B14" s="14">
        <f t="shared" si="2"/>
        <v>46631</v>
      </c>
      <c r="C14" s="9">
        <f t="shared" si="3"/>
        <v>439224.20863613527</v>
      </c>
      <c r="D14" s="9">
        <f>C14*Ввод!$C$7</f>
        <v>79060.357554504342</v>
      </c>
      <c r="E14" s="9">
        <f>IF(D14&gt;0,D14*Ввод!$C$8,0)</f>
        <v>15812.071510900869</v>
      </c>
      <c r="F14" s="9">
        <f t="shared" si="4"/>
        <v>502472.49467973877</v>
      </c>
      <c r="G14" s="9">
        <f>Ввод!$C$5</f>
        <v>20000</v>
      </c>
      <c r="H14" s="9">
        <f t="shared" si="5"/>
        <v>35812.071510900867</v>
      </c>
      <c r="I14" s="9">
        <f>I13*(1+Ввод!$F$20)+H14*Ввод!$C$12</f>
        <v>144067.80246492173</v>
      </c>
      <c r="J14" s="9">
        <f>J13*(1+Ввод!$F$21)+H14*Ввод!$C$13</f>
        <v>53923.111728129879</v>
      </c>
      <c r="K14" s="9">
        <f>K13*(1+Ввод!$F$22)+H14*Ввод!$C$14</f>
        <v>71486.866906406503</v>
      </c>
      <c r="L14" s="9">
        <f>L13*(1+Ввод!$F$23)+H14*Ввод!$C$15</f>
        <v>52786.24093342157</v>
      </c>
      <c r="M14" s="9">
        <f>M13*(1+Ввод!$F$24)+H14*Ввод!$C$16</f>
        <v>38144.264593530344</v>
      </c>
      <c r="N14" s="9">
        <f t="shared" si="0"/>
        <v>360408.28662641003</v>
      </c>
      <c r="O14" s="9">
        <f t="shared" si="1"/>
        <v>862880.78130614874</v>
      </c>
    </row>
    <row r="15" spans="1:15" x14ac:dyDescent="0.25">
      <c r="A15" s="13">
        <v>13</v>
      </c>
      <c r="B15" s="14">
        <f t="shared" si="2"/>
        <v>46661</v>
      </c>
      <c r="C15" s="9">
        <f t="shared" si="3"/>
        <v>502472.49467973877</v>
      </c>
      <c r="D15" s="9">
        <f>C15*Ввод!$C$7</f>
        <v>90445.04904235297</v>
      </c>
      <c r="E15" s="9">
        <f>IF(D15&gt;0,D15*Ввод!$C$8,0)</f>
        <v>18089.009808470593</v>
      </c>
      <c r="F15" s="9">
        <f t="shared" si="4"/>
        <v>574828.5339136211</v>
      </c>
      <c r="G15" s="9">
        <f>Ввод!$C$5</f>
        <v>20000</v>
      </c>
      <c r="H15" s="9">
        <f t="shared" si="5"/>
        <v>38089.009808470597</v>
      </c>
      <c r="I15" s="9">
        <f>I14*(1+Ввод!$F$20)+H15*Ввод!$C$12</f>
        <v>160885.10546235918</v>
      </c>
      <c r="J15" s="9">
        <f>J14*(1+Ввод!$F$21)+H15*Ввод!$C$13</f>
        <v>60208.511774006896</v>
      </c>
      <c r="K15" s="9">
        <f>K14*(1+Ввод!$F$22)+H15*Ввод!$C$14</f>
        <v>79782.992945717604</v>
      </c>
      <c r="L15" s="9">
        <f>L14*(1+Ввод!$F$23)+H15*Ввод!$C$15</f>
        <v>58839.220668251684</v>
      </c>
      <c r="M15" s="9">
        <f>M14*(1+Ввод!$F$24)+H15*Ввод!$C$16</f>
        <v>42796.323586514904</v>
      </c>
      <c r="N15" s="9">
        <f t="shared" si="0"/>
        <v>402512.15443685028</v>
      </c>
      <c r="O15" s="9">
        <f t="shared" si="1"/>
        <v>977340.68835047144</v>
      </c>
    </row>
    <row r="16" spans="1:15" x14ac:dyDescent="0.25">
      <c r="A16" s="13">
        <v>14</v>
      </c>
      <c r="B16" s="14">
        <f t="shared" si="2"/>
        <v>46692</v>
      </c>
      <c r="C16" s="9">
        <f t="shared" si="3"/>
        <v>574828.5339136211</v>
      </c>
      <c r="D16" s="9">
        <f>C16*Ввод!$C$7</f>
        <v>103469.1361044518</v>
      </c>
      <c r="E16" s="9">
        <f>IF(D16&gt;0,D16*Ввод!$C$8,0)</f>
        <v>20693.827220890362</v>
      </c>
      <c r="F16" s="9">
        <f t="shared" si="4"/>
        <v>657603.84279718262</v>
      </c>
      <c r="G16" s="9">
        <f>Ввод!$C$5</f>
        <v>20000</v>
      </c>
      <c r="H16" s="9">
        <f t="shared" si="5"/>
        <v>40693.827220890365</v>
      </c>
      <c r="I16" s="9">
        <f>I15*(1+Ввод!$F$20)+H16*Ввод!$C$12</f>
        <v>178928.9701045746</v>
      </c>
      <c r="J16" s="9">
        <f>J15*(1+Ввод!$F$21)+H16*Ввод!$C$13</f>
        <v>66951.31370936727</v>
      </c>
      <c r="K16" s="9">
        <f>K15*(1+Ввод!$F$22)+H16*Ввод!$C$14</f>
        <v>88678.8026896589</v>
      </c>
      <c r="L16" s="9">
        <f>L15*(1+Ввод!$F$23)+H16*Ввод!$C$15</f>
        <v>65321.868068813907</v>
      </c>
      <c r="M16" s="9">
        <f>M15*(1+Ввод!$F$24)+H16*Ввод!$C$16</f>
        <v>47811.695528910459</v>
      </c>
      <c r="N16" s="9">
        <f t="shared" si="0"/>
        <v>447692.65010132513</v>
      </c>
      <c r="O16" s="9">
        <f t="shared" si="1"/>
        <v>1105296.4928985077</v>
      </c>
    </row>
    <row r="17" spans="1:15" x14ac:dyDescent="0.25">
      <c r="A17" s="13">
        <v>15</v>
      </c>
      <c r="B17" s="14">
        <f t="shared" si="2"/>
        <v>46722</v>
      </c>
      <c r="C17" s="9">
        <f t="shared" si="3"/>
        <v>657603.84279718262</v>
      </c>
      <c r="D17" s="9">
        <f>C17*Ввод!$C$7</f>
        <v>118368.69170349286</v>
      </c>
      <c r="E17" s="9">
        <f>IF(D17&gt;0,D17*Ввод!$C$8,0)</f>
        <v>23673.738340698575</v>
      </c>
      <c r="F17" s="9">
        <f t="shared" si="4"/>
        <v>752298.79615997698</v>
      </c>
      <c r="G17" s="9">
        <f>Ввод!$C$5</f>
        <v>20000</v>
      </c>
      <c r="H17" s="9">
        <f t="shared" si="5"/>
        <v>43673.738340698575</v>
      </c>
      <c r="I17" s="9">
        <f>I16*(1+Ввод!$F$20)+H17*Ввод!$C$12</f>
        <v>198362.90011322915</v>
      </c>
      <c r="J17" s="9">
        <f>J16*(1+Ввод!$F$21)+H17*Ввод!$C$13</f>
        <v>74212.633982744621</v>
      </c>
      <c r="K17" s="9">
        <f>K16*(1+Ввод!$F$22)+H17*Ввод!$C$14</f>
        <v>98255.005154207523</v>
      </c>
      <c r="L17" s="9">
        <f>L16*(1+Ввод!$F$23)+H17*Ввод!$C$15</f>
        <v>72293.211685915114</v>
      </c>
      <c r="M17" s="9">
        <f>M16*(1+Ввод!$F$24)+H17*Ввод!$C$16</f>
        <v>53235.920624596118</v>
      </c>
      <c r="N17" s="9">
        <f t="shared" si="0"/>
        <v>496359.67156069254</v>
      </c>
      <c r="O17" s="9">
        <f t="shared" si="1"/>
        <v>1248658.4677206695</v>
      </c>
    </row>
    <row r="18" spans="1:15" x14ac:dyDescent="0.25">
      <c r="A18" s="13">
        <v>16</v>
      </c>
      <c r="B18" s="14">
        <f t="shared" si="2"/>
        <v>46753</v>
      </c>
      <c r="C18" s="9">
        <f t="shared" si="3"/>
        <v>752298.79615997698</v>
      </c>
      <c r="D18" s="9">
        <f>C18*Ввод!$C$7</f>
        <v>135413.78330879586</v>
      </c>
      <c r="E18" s="9">
        <f>IF(D18&gt;0,D18*Ввод!$C$8,0)</f>
        <v>27082.756661759173</v>
      </c>
      <c r="F18" s="9">
        <f t="shared" si="4"/>
        <v>860629.82280701364</v>
      </c>
      <c r="G18" s="9">
        <f>Ввод!$C$5</f>
        <v>20000</v>
      </c>
      <c r="H18" s="9">
        <f t="shared" si="5"/>
        <v>47082.756661759173</v>
      </c>
      <c r="I18" s="9">
        <f>I17*(1+Ввод!$F$20)+H18*Ввод!$C$12</f>
        <v>219373.79969068302</v>
      </c>
      <c r="J18" s="9">
        <f>J17*(1+Ввод!$F$21)+H18*Ввод!$C$13</f>
        <v>82062.339426539795</v>
      </c>
      <c r="K18" s="9">
        <f>K17*(1+Ввод!$F$22)+H18*Ввод!$C$14</f>
        <v>108603.87788525403</v>
      </c>
      <c r="L18" s="9">
        <f>L17*(1+Ввод!$F$23)+H18*Ввод!$C$15</f>
        <v>79820.76188591501</v>
      </c>
      <c r="M18" s="9">
        <f>M17*(1+Ввод!$F$24)+H18*Ввод!$C$16</f>
        <v>59120.947068024077</v>
      </c>
      <c r="N18" s="9">
        <f t="shared" si="0"/>
        <v>548981.72595641599</v>
      </c>
      <c r="O18" s="9">
        <f t="shared" si="1"/>
        <v>1409611.5487634297</v>
      </c>
    </row>
    <row r="19" spans="1:15" x14ac:dyDescent="0.25">
      <c r="A19" s="13">
        <v>17</v>
      </c>
      <c r="B19" s="14">
        <f t="shared" si="2"/>
        <v>46784</v>
      </c>
      <c r="C19" s="9">
        <f t="shared" si="3"/>
        <v>860629.82280701364</v>
      </c>
      <c r="D19" s="9">
        <f>C19*Ввод!$C$7</f>
        <v>154913.36810526246</v>
      </c>
      <c r="E19" s="9">
        <f>IF(D19&gt;0,D19*Ввод!$C$8,0)</f>
        <v>30982.673621052494</v>
      </c>
      <c r="F19" s="9">
        <f t="shared" si="4"/>
        <v>984560.51729122351</v>
      </c>
      <c r="G19" s="9">
        <f>Ввод!$C$5</f>
        <v>20000</v>
      </c>
      <c r="H19" s="9">
        <f t="shared" si="5"/>
        <v>50982.673621052498</v>
      </c>
      <c r="I19" s="9">
        <f>I18*(1+Ввод!$F$20)+H19*Ввод!$C$12</f>
        <v>242175.34160765505</v>
      </c>
      <c r="J19" s="9">
        <f>J18*(1+Ввод!$F$21)+H19*Ввод!$C$13</f>
        <v>90580.306777786536</v>
      </c>
      <c r="K19" s="9">
        <f>K18*(1+Ввод!$F$22)+H19*Ввод!$C$14</f>
        <v>119830.93231861044</v>
      </c>
      <c r="L19" s="9">
        <f>L18*(1+Ввод!$F$23)+H19*Ввод!$C$15</f>
        <v>87981.732114450278</v>
      </c>
      <c r="M19" s="9">
        <f>M18*(1+Ввод!$F$24)+H19*Ввод!$C$16</f>
        <v>65526.050483642248</v>
      </c>
      <c r="N19" s="9">
        <f t="shared" si="0"/>
        <v>606094.36330214457</v>
      </c>
      <c r="O19" s="9">
        <f t="shared" si="1"/>
        <v>1590654.8805933681</v>
      </c>
    </row>
    <row r="20" spans="1:15" x14ac:dyDescent="0.25">
      <c r="A20" s="13">
        <v>18</v>
      </c>
      <c r="B20" s="14">
        <f t="shared" si="2"/>
        <v>46813</v>
      </c>
      <c r="C20" s="9">
        <f t="shared" si="3"/>
        <v>984560.51729122351</v>
      </c>
      <c r="D20" s="9">
        <f>C20*Ввод!$C$7</f>
        <v>177220.89311242022</v>
      </c>
      <c r="E20" s="9">
        <f>IF(D20&gt;0,D20*Ввод!$C$8,0)</f>
        <v>35444.178622484047</v>
      </c>
      <c r="F20" s="9">
        <f t="shared" si="4"/>
        <v>1126337.2317811598</v>
      </c>
      <c r="G20" s="9">
        <f>Ввод!$C$5</f>
        <v>20000</v>
      </c>
      <c r="H20" s="9">
        <f t="shared" si="5"/>
        <v>55444.178622484047</v>
      </c>
      <c r="I20" s="9">
        <f>I19*(1+Ввод!$F$20)+H20*Ввод!$C$12</f>
        <v>267011.82027814182</v>
      </c>
      <c r="J20" s="9">
        <f>J19*(1+Ввод!$F$21)+H20*Ввод!$C$13</f>
        <v>99857.863564236948</v>
      </c>
      <c r="K20" s="9">
        <f>K19*(1+Ввод!$F$22)+H20*Ввод!$C$14</f>
        <v>132056.81894703658</v>
      </c>
      <c r="L20" s="9">
        <f>L19*(1+Ввод!$F$23)+H20*Ввод!$C$15</f>
        <v>96864.436021377507</v>
      </c>
      <c r="M20" s="9">
        <f>M19*(1+Ввод!$F$24)+H20*Ввод!$C$16</f>
        <v>72518.885691401098</v>
      </c>
      <c r="N20" s="9">
        <f t="shared" si="0"/>
        <v>668309.82450219395</v>
      </c>
      <c r="O20" s="9">
        <f t="shared" si="1"/>
        <v>1794647.0562833538</v>
      </c>
    </row>
    <row r="21" spans="1:15" x14ac:dyDescent="0.25">
      <c r="A21" s="13">
        <v>19</v>
      </c>
      <c r="B21" s="14">
        <f t="shared" si="2"/>
        <v>46844</v>
      </c>
      <c r="C21" s="9">
        <f t="shared" si="3"/>
        <v>1126337.2317811598</v>
      </c>
      <c r="D21" s="9">
        <f>C21*Ввод!$C$7</f>
        <v>202740.70172060875</v>
      </c>
      <c r="E21" s="9">
        <f>IF(D21&gt;0,D21*Ввод!$C$8,0)</f>
        <v>40548.140344121755</v>
      </c>
      <c r="F21" s="9">
        <f t="shared" si="4"/>
        <v>1288529.7931576467</v>
      </c>
      <c r="G21" s="9">
        <f>Ввод!$C$5</f>
        <v>20000</v>
      </c>
      <c r="H21" s="9">
        <f t="shared" si="5"/>
        <v>60548.140344121755</v>
      </c>
      <c r="I21" s="9">
        <f>I20*(1+Ввод!$F$20)+H21*Ввод!$C$12</f>
        <v>294162.55965957057</v>
      </c>
      <c r="J21" s="9">
        <f>J20*(1+Ввод!$F$21)+H21*Ввод!$C$13</f>
        <v>109999.43647231282</v>
      </c>
      <c r="K21" s="9">
        <f>K20*(1+Ввод!$F$22)+H21*Ввод!$C$14</f>
        <v>145419.5068264491</v>
      </c>
      <c r="L21" s="9">
        <f>L20*(1+Ввод!$F$23)+H21*Ввод!$C$15</f>
        <v>106569.88577094582</v>
      </c>
      <c r="M21" s="9">
        <f>M20*(1+Ввод!$F$24)+H21*Ввод!$C$16</f>
        <v>80176.689851682924</v>
      </c>
      <c r="N21" s="9">
        <f t="shared" si="0"/>
        <v>736328.07858096133</v>
      </c>
      <c r="O21" s="9">
        <f t="shared" si="1"/>
        <v>2024857.871738608</v>
      </c>
    </row>
    <row r="22" spans="1:15" x14ac:dyDescent="0.25">
      <c r="A22" s="13">
        <v>20</v>
      </c>
      <c r="B22" s="14">
        <f t="shared" si="2"/>
        <v>46874</v>
      </c>
      <c r="C22" s="9">
        <f t="shared" si="3"/>
        <v>1288529.7931576467</v>
      </c>
      <c r="D22" s="9">
        <f>C22*Ввод!$C$7</f>
        <v>231935.36276837639</v>
      </c>
      <c r="E22" s="9">
        <f>IF(D22&gt;0,D22*Ввод!$C$8,0)</f>
        <v>46387.07255367528</v>
      </c>
      <c r="F22" s="9">
        <f t="shared" si="4"/>
        <v>1474078.0833723478</v>
      </c>
      <c r="G22" s="9">
        <f>Ввод!$C$5</f>
        <v>20000</v>
      </c>
      <c r="H22" s="9">
        <f t="shared" si="5"/>
        <v>66387.072553675273</v>
      </c>
      <c r="I22" s="9">
        <f>I21*(1+Ввод!$F$20)+H22*Ввод!$C$12</f>
        <v>323946.95587282715</v>
      </c>
      <c r="J22" s="9">
        <f>J21*(1+Ввод!$F$21)+H22*Ввод!$C$13</f>
        <v>121124.4370742504</v>
      </c>
      <c r="K22" s="9">
        <f>K21*(1+Ввод!$F$22)+H22*Ввод!$C$14</f>
        <v>160076.77692610951</v>
      </c>
      <c r="L22" s="9">
        <f>L21*(1+Ввод!$F$23)+H22*Ввод!$C$15</f>
        <v>117213.620507867</v>
      </c>
      <c r="M22" s="9">
        <f>M21*(1+Ввод!$F$24)+H22*Ввод!$C$16</f>
        <v>88587.658786636632</v>
      </c>
      <c r="N22" s="9">
        <f t="shared" si="0"/>
        <v>810949.44916769071</v>
      </c>
      <c r="O22" s="9">
        <f t="shared" si="1"/>
        <v>2285027.5325400382</v>
      </c>
    </row>
    <row r="23" spans="1:15" x14ac:dyDescent="0.25">
      <c r="A23" s="13">
        <v>21</v>
      </c>
      <c r="B23" s="14">
        <f t="shared" si="2"/>
        <v>46905</v>
      </c>
      <c r="C23" s="9">
        <f t="shared" si="3"/>
        <v>1474078.0833723478</v>
      </c>
      <c r="D23" s="9">
        <f>C23*Ввод!$C$7</f>
        <v>265334.05500702257</v>
      </c>
      <c r="E23" s="9">
        <f>IF(D23&gt;0,D23*Ввод!$C$8,0)</f>
        <v>53066.811001404516</v>
      </c>
      <c r="F23" s="9">
        <f t="shared" si="4"/>
        <v>1686345.3273779659</v>
      </c>
      <c r="G23" s="9">
        <f>Ввод!$C$5</f>
        <v>20000</v>
      </c>
      <c r="H23" s="9">
        <f t="shared" si="5"/>
        <v>73066.811001404509</v>
      </c>
      <c r="I23" s="9">
        <f>I22*(1+Ввод!$F$20)+H23*Ввод!$C$12</f>
        <v>356730.24594162614</v>
      </c>
      <c r="J23" s="9">
        <f>J22*(1+Ввод!$F$21)+H23*Ввод!$C$13</f>
        <v>133369.41909410132</v>
      </c>
      <c r="K23" s="9">
        <f>K22*(1+Ввод!$F$22)+H23*Ввод!$C$14</f>
        <v>176209.07451627773</v>
      </c>
      <c r="L23" s="9">
        <f>L22*(1+Ввод!$F$23)+H23*Ввод!$C$15</f>
        <v>128927.79812172781</v>
      </c>
      <c r="M23" s="9">
        <f>M22*(1+Ввод!$F$24)+H23*Ввод!$C$16</f>
        <v>97852.521413630398</v>
      </c>
      <c r="N23" s="9">
        <f t="shared" si="0"/>
        <v>893089.0590873633</v>
      </c>
      <c r="O23" s="9">
        <f t="shared" si="1"/>
        <v>2579434.3864653292</v>
      </c>
    </row>
    <row r="24" spans="1:15" x14ac:dyDescent="0.25">
      <c r="A24" s="13">
        <v>22</v>
      </c>
      <c r="B24" s="14">
        <f t="shared" si="2"/>
        <v>46935</v>
      </c>
      <c r="C24" s="9">
        <f t="shared" si="3"/>
        <v>1686345.3273779659</v>
      </c>
      <c r="D24" s="9">
        <f>C24*Ввод!$C$7</f>
        <v>303542.15892803384</v>
      </c>
      <c r="E24" s="9">
        <f>IF(D24&gt;0,D24*Ввод!$C$8,0)</f>
        <v>60708.431785606772</v>
      </c>
      <c r="F24" s="9">
        <f t="shared" si="4"/>
        <v>1929179.054520393</v>
      </c>
      <c r="G24" s="9">
        <f>Ввод!$C$5</f>
        <v>20000</v>
      </c>
      <c r="H24" s="9">
        <f t="shared" si="5"/>
        <v>80708.431785606779</v>
      </c>
      <c r="I24" s="9">
        <f>I23*(1+Ввод!$F$20)+H24*Ввод!$C$12</f>
        <v>392930.10721221095</v>
      </c>
      <c r="J24" s="9">
        <f>J23*(1+Ввод!$F$21)+H24*Ввод!$C$13</f>
        <v>146890.54631412291</v>
      </c>
      <c r="K24" s="9">
        <f>K23*(1+Ввод!$F$22)+H24*Ввод!$C$14</f>
        <v>194022.77229467858</v>
      </c>
      <c r="L24" s="9">
        <f>L23*(1+Ввод!$F$23)+H24*Ввод!$C$15</f>
        <v>141863.58822470048</v>
      </c>
      <c r="M24" s="9">
        <f>M23*(1+Ввод!$F$24)+H24*Ввод!$C$16</f>
        <v>108086.34081723941</v>
      </c>
      <c r="N24" s="9">
        <f t="shared" si="0"/>
        <v>983793.35486295237</v>
      </c>
      <c r="O24" s="9">
        <f t="shared" si="1"/>
        <v>2912972.4093833454</v>
      </c>
    </row>
    <row r="25" spans="1:15" x14ac:dyDescent="0.25">
      <c r="A25" s="13">
        <v>23</v>
      </c>
      <c r="B25" s="14">
        <f t="shared" si="2"/>
        <v>46966</v>
      </c>
      <c r="C25" s="9">
        <f t="shared" si="3"/>
        <v>1929179.054520393</v>
      </c>
      <c r="D25" s="9">
        <f>C25*Ввод!$C$7</f>
        <v>347252.22981367074</v>
      </c>
      <c r="E25" s="9">
        <f>IF(D25&gt;0,D25*Ввод!$C$8,0)</f>
        <v>69450.445962734157</v>
      </c>
      <c r="F25" s="9">
        <f t="shared" si="4"/>
        <v>2206980.8383713295</v>
      </c>
      <c r="G25" s="9">
        <f>Ввод!$C$5</f>
        <v>20000</v>
      </c>
      <c r="H25" s="9">
        <f t="shared" si="5"/>
        <v>89450.445962734157</v>
      </c>
      <c r="I25" s="9">
        <f>I24*(1+Ввод!$F$20)+H25*Ввод!$C$12</f>
        <v>433024.20707115321</v>
      </c>
      <c r="J25" s="9">
        <f>J24*(1+Ввод!$F$21)+H25*Ввод!$C$13</f>
        <v>161866.41585371067</v>
      </c>
      <c r="K25" s="9">
        <f>K24*(1+Ввод!$F$22)+H25*Ввод!$C$14</f>
        <v>213753.9033981234</v>
      </c>
      <c r="L25" s="9">
        <f>L24*(1+Ввод!$F$23)+H25*Ввод!$C$15</f>
        <v>156193.90971726144</v>
      </c>
      <c r="M25" s="9">
        <f>M24*(1+Ввод!$F$24)+H25*Ввод!$C$16</f>
        <v>119420.57459395222</v>
      </c>
      <c r="N25" s="9">
        <f t="shared" si="0"/>
        <v>1084259.0106342009</v>
      </c>
      <c r="O25" s="9">
        <f t="shared" si="1"/>
        <v>3291239.8490055306</v>
      </c>
    </row>
    <row r="26" spans="1:15" x14ac:dyDescent="0.25">
      <c r="A26" s="13">
        <v>24</v>
      </c>
      <c r="B26" s="14">
        <f t="shared" si="2"/>
        <v>46997</v>
      </c>
      <c r="C26" s="9">
        <f t="shared" si="3"/>
        <v>2206980.8383713295</v>
      </c>
      <c r="D26" s="9">
        <f>C26*Ввод!$C$7</f>
        <v>397256.55090683931</v>
      </c>
      <c r="E26" s="9">
        <f>IF(D26&gt;0,D26*Ввод!$C$8,0)</f>
        <v>79451.310181367866</v>
      </c>
      <c r="F26" s="9">
        <f t="shared" si="4"/>
        <v>2524786.0790968011</v>
      </c>
      <c r="G26" s="9">
        <f>Ввод!$C$5</f>
        <v>20000</v>
      </c>
      <c r="H26" s="9">
        <f t="shared" si="5"/>
        <v>99451.310181367866</v>
      </c>
      <c r="I26" s="9">
        <f>I25*(1+Ввод!$F$20)+H26*Ввод!$C$12</f>
        <v>477558.83980397583</v>
      </c>
      <c r="J26" s="9">
        <f>J25*(1+Ввод!$F$21)+H26*Ввод!$C$13</f>
        <v>178501.28799445639</v>
      </c>
      <c r="K26" s="9">
        <f>K25*(1+Ввод!$F$22)+H26*Ввод!$C$14</f>
        <v>235672.43196270062</v>
      </c>
      <c r="L26" s="9">
        <f>L25*(1+Ввод!$F$23)+H26*Ввод!$C$15</f>
        <v>172116.56256258662</v>
      </c>
      <c r="M26" s="9">
        <f>M25*(1+Ввод!$F$24)+H26*Ввод!$C$16</f>
        <v>132005.43180306224</v>
      </c>
      <c r="N26" s="9">
        <f t="shared" si="0"/>
        <v>1195854.5541267816</v>
      </c>
      <c r="O26" s="9">
        <f t="shared" si="1"/>
        <v>3720640.633223583</v>
      </c>
    </row>
  </sheetData>
  <autoFilter ref="A1:O26" xr:uid="{00000000-0009-0000-0000-000001000000}"/>
  <pageMargins left="0.75" right="0.75" top="1" bottom="1" header="0.5" footer="0.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showGridLines="0" workbookViewId="0">
      <selection activeCell="A25" sqref="A25"/>
    </sheetView>
  </sheetViews>
  <sheetFormatPr defaultRowHeight="15" x14ac:dyDescent="0.25"/>
  <cols>
    <col min="1" max="1" width="120" customWidth="1"/>
  </cols>
  <sheetData>
    <row r="1" spans="1:6" ht="21" x14ac:dyDescent="0.25">
      <c r="A1" s="1" t="s">
        <v>51</v>
      </c>
    </row>
    <row r="2" spans="1:6" ht="9.9499999999999993" customHeight="1" x14ac:dyDescent="0.25">
      <c r="A2" s="19"/>
      <c r="B2" s="20"/>
      <c r="C2" s="20"/>
      <c r="D2" s="20"/>
      <c r="E2" s="20"/>
      <c r="F2" s="20"/>
    </row>
    <row r="3" spans="1:6" ht="36" customHeight="1" x14ac:dyDescent="0.25">
      <c r="A3" s="22" t="s">
        <v>52</v>
      </c>
      <c r="B3" s="20"/>
      <c r="C3" s="20"/>
      <c r="D3" s="20"/>
      <c r="E3" s="20"/>
      <c r="F3" s="20"/>
    </row>
    <row r="4" spans="1:6" ht="9.9499999999999993" customHeight="1" x14ac:dyDescent="0.25">
      <c r="A4" s="19"/>
      <c r="B4" s="20"/>
      <c r="C4" s="20"/>
      <c r="D4" s="20"/>
      <c r="E4" s="20"/>
      <c r="F4" s="20"/>
    </row>
    <row r="5" spans="1:6" ht="36" customHeight="1" x14ac:dyDescent="0.25">
      <c r="A5" s="22" t="s">
        <v>53</v>
      </c>
      <c r="B5" s="20"/>
      <c r="C5" s="20"/>
      <c r="D5" s="20"/>
      <c r="E5" s="20"/>
      <c r="F5" s="20"/>
    </row>
    <row r="6" spans="1:6" ht="9.9499999999999993" customHeight="1" x14ac:dyDescent="0.25">
      <c r="A6" s="19"/>
      <c r="B6" s="20"/>
      <c r="C6" s="20"/>
      <c r="D6" s="20"/>
      <c r="E6" s="20"/>
      <c r="F6" s="20"/>
    </row>
    <row r="7" spans="1:6" ht="36" customHeight="1" x14ac:dyDescent="0.25">
      <c r="A7" s="22" t="s">
        <v>54</v>
      </c>
      <c r="B7" s="20"/>
      <c r="C7" s="20"/>
      <c r="D7" s="20"/>
      <c r="E7" s="20"/>
      <c r="F7" s="20"/>
    </row>
    <row r="8" spans="1:6" ht="9.9499999999999993" customHeight="1" x14ac:dyDescent="0.25">
      <c r="A8" s="19"/>
      <c r="B8" s="20"/>
      <c r="C8" s="20"/>
      <c r="D8" s="20"/>
      <c r="E8" s="20"/>
      <c r="F8" s="20"/>
    </row>
    <row r="9" spans="1:6" ht="36" customHeight="1" x14ac:dyDescent="0.25">
      <c r="A9" s="22" t="s">
        <v>55</v>
      </c>
      <c r="B9" s="20"/>
      <c r="C9" s="20"/>
      <c r="D9" s="20"/>
      <c r="E9" s="20"/>
      <c r="F9" s="20"/>
    </row>
    <row r="10" spans="1:6" ht="9.9499999999999993" customHeight="1" x14ac:dyDescent="0.25">
      <c r="A10" s="19"/>
      <c r="B10" s="20"/>
      <c r="C10" s="20"/>
      <c r="D10" s="20"/>
      <c r="E10" s="20"/>
      <c r="F10" s="20"/>
    </row>
    <row r="11" spans="1:6" ht="36" customHeight="1" x14ac:dyDescent="0.25">
      <c r="A11" s="22" t="s">
        <v>56</v>
      </c>
      <c r="B11" s="20"/>
      <c r="C11" s="20"/>
      <c r="D11" s="20"/>
      <c r="E11" s="20"/>
      <c r="F11" s="20"/>
    </row>
    <row r="12" spans="1:6" ht="9.9499999999999993" customHeight="1" x14ac:dyDescent="0.25">
      <c r="A12" s="19"/>
      <c r="B12" s="20"/>
      <c r="C12" s="20"/>
      <c r="D12" s="20"/>
      <c r="E12" s="20"/>
      <c r="F12" s="20"/>
    </row>
    <row r="13" spans="1:6" ht="36" customHeight="1" x14ac:dyDescent="0.25">
      <c r="A13" s="22" t="s">
        <v>57</v>
      </c>
      <c r="B13" s="20"/>
      <c r="C13" s="20"/>
      <c r="D13" s="20"/>
      <c r="E13" s="20"/>
      <c r="F13" s="20"/>
    </row>
    <row r="14" spans="1:6" ht="9.9499999999999993" customHeight="1" x14ac:dyDescent="0.25">
      <c r="A14" s="19"/>
      <c r="B14" s="20"/>
      <c r="C14" s="20"/>
      <c r="D14" s="20"/>
      <c r="E14" s="20"/>
      <c r="F14" s="20"/>
    </row>
    <row r="15" spans="1:6" ht="36" customHeight="1" x14ac:dyDescent="0.25">
      <c r="A15" s="22" t="s">
        <v>58</v>
      </c>
      <c r="B15" s="20"/>
      <c r="C15" s="20"/>
      <c r="D15" s="20"/>
      <c r="E15" s="20"/>
      <c r="F15" s="20"/>
    </row>
  </sheetData>
  <mergeCells count="14">
    <mergeCell ref="A15:F15"/>
    <mergeCell ref="A7:F7"/>
    <mergeCell ref="A2:F2"/>
    <mergeCell ref="A11:F11"/>
    <mergeCell ref="A10:F10"/>
    <mergeCell ref="A13:F13"/>
    <mergeCell ref="A14:F14"/>
    <mergeCell ref="A5:F5"/>
    <mergeCell ref="A9:F9"/>
    <mergeCell ref="A8:F8"/>
    <mergeCell ref="A6:F6"/>
    <mergeCell ref="A12:F12"/>
    <mergeCell ref="A4:F4"/>
    <mergeCell ref="A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58"/>
  <sheetViews>
    <sheetView showGridLines="0" workbookViewId="0">
      <selection activeCell="F10" sqref="F10"/>
    </sheetView>
  </sheetViews>
  <sheetFormatPr defaultRowHeight="15" x14ac:dyDescent="0.25"/>
  <cols>
    <col min="1" max="1" width="28" customWidth="1"/>
    <col min="2" max="2" width="42" customWidth="1"/>
    <col min="3" max="3" width="21.140625" customWidth="1"/>
    <col min="4" max="4" width="22" customWidth="1"/>
    <col min="5" max="5" width="16" customWidth="1"/>
    <col min="6" max="6" width="36" customWidth="1"/>
    <col min="7" max="7" width="42" customWidth="1"/>
  </cols>
  <sheetData>
    <row r="1" spans="1:7" x14ac:dyDescent="0.25">
      <c r="A1" s="21" t="s">
        <v>59</v>
      </c>
      <c r="B1" s="20"/>
      <c r="C1" s="20"/>
      <c r="D1" s="20"/>
      <c r="E1" s="20"/>
      <c r="F1" s="20"/>
      <c r="G1" s="20"/>
    </row>
    <row r="2" spans="1:7" x14ac:dyDescent="0.25">
      <c r="A2" s="19" t="s">
        <v>60</v>
      </c>
      <c r="B2" s="20"/>
      <c r="C2" s="20"/>
      <c r="D2" s="20"/>
      <c r="E2" s="20"/>
      <c r="F2" s="20"/>
      <c r="G2" s="20"/>
    </row>
    <row r="4" spans="1:7" ht="15.75" x14ac:dyDescent="0.25">
      <c r="A4" s="2" t="s">
        <v>61</v>
      </c>
    </row>
    <row r="5" spans="1:7" x14ac:dyDescent="0.25">
      <c r="A5" s="15" t="s">
        <v>62</v>
      </c>
      <c r="B5" s="15" t="s">
        <v>63</v>
      </c>
      <c r="C5" s="15" t="s">
        <v>64</v>
      </c>
    </row>
    <row r="6" spans="1:7" ht="30" x14ac:dyDescent="0.25">
      <c r="A6" s="16" t="s">
        <v>65</v>
      </c>
      <c r="B6" s="16" t="s">
        <v>66</v>
      </c>
      <c r="C6" s="16" t="s">
        <v>67</v>
      </c>
    </row>
    <row r="7" spans="1:7" ht="45" x14ac:dyDescent="0.25">
      <c r="A7" s="16" t="s">
        <v>68</v>
      </c>
      <c r="B7" s="16" t="s">
        <v>69</v>
      </c>
      <c r="C7" s="16" t="s">
        <v>70</v>
      </c>
    </row>
    <row r="8" spans="1:7" ht="30" x14ac:dyDescent="0.25">
      <c r="A8" s="16" t="s">
        <v>71</v>
      </c>
      <c r="B8" s="16" t="s">
        <v>72</v>
      </c>
      <c r="C8" s="16" t="s">
        <v>73</v>
      </c>
    </row>
    <row r="9" spans="1:7" ht="30" x14ac:dyDescent="0.25">
      <c r="A9" s="16" t="s">
        <v>74</v>
      </c>
      <c r="B9" s="16" t="s">
        <v>75</v>
      </c>
      <c r="C9" s="16" t="s">
        <v>73</v>
      </c>
    </row>
    <row r="10" spans="1:7" ht="45" x14ac:dyDescent="0.25">
      <c r="A10" s="16" t="s">
        <v>76</v>
      </c>
      <c r="B10" s="16" t="s">
        <v>77</v>
      </c>
      <c r="C10" s="16" t="s">
        <v>78</v>
      </c>
    </row>
    <row r="11" spans="1:7" ht="45" x14ac:dyDescent="0.25">
      <c r="A11" s="16" t="s">
        <v>79</v>
      </c>
      <c r="B11" s="16" t="s">
        <v>80</v>
      </c>
      <c r="C11" s="16" t="s">
        <v>81</v>
      </c>
    </row>
    <row r="12" spans="1:7" ht="30" x14ac:dyDescent="0.25">
      <c r="A12" s="16" t="s">
        <v>82</v>
      </c>
      <c r="B12" s="16" t="s">
        <v>83</v>
      </c>
      <c r="C12" s="16" t="s">
        <v>84</v>
      </c>
    </row>
    <row r="13" spans="1:7" ht="45" x14ac:dyDescent="0.25">
      <c r="A13" s="16" t="s">
        <v>85</v>
      </c>
      <c r="B13" s="16" t="s">
        <v>86</v>
      </c>
      <c r="C13" s="16" t="s">
        <v>87</v>
      </c>
    </row>
    <row r="14" spans="1:7" ht="30" x14ac:dyDescent="0.25">
      <c r="A14" s="16" t="s">
        <v>88</v>
      </c>
      <c r="B14" s="16" t="s">
        <v>89</v>
      </c>
      <c r="C14" s="16" t="s">
        <v>90</v>
      </c>
    </row>
    <row r="15" spans="1:7" ht="45" x14ac:dyDescent="0.25">
      <c r="A15" s="16" t="s">
        <v>91</v>
      </c>
      <c r="B15" s="16" t="s">
        <v>92</v>
      </c>
      <c r="C15" s="16" t="s">
        <v>93</v>
      </c>
    </row>
    <row r="16" spans="1:7" ht="45" x14ac:dyDescent="0.25">
      <c r="A16" s="16" t="s">
        <v>94</v>
      </c>
      <c r="B16" s="16" t="s">
        <v>95</v>
      </c>
      <c r="C16" s="16" t="s">
        <v>96</v>
      </c>
    </row>
    <row r="18" spans="1:7" ht="15.75" x14ac:dyDescent="0.25">
      <c r="A18" s="26" t="s">
        <v>97</v>
      </c>
    </row>
    <row r="19" spans="1:7" ht="39.950000000000003" customHeight="1" x14ac:dyDescent="0.25">
      <c r="A19" s="22" t="s">
        <v>98</v>
      </c>
      <c r="B19" s="20"/>
      <c r="C19" s="20"/>
      <c r="D19" s="20"/>
      <c r="E19" s="20"/>
      <c r="F19" s="20"/>
      <c r="G19" s="20"/>
    </row>
    <row r="21" spans="1:7" ht="27.95" customHeight="1" x14ac:dyDescent="0.25">
      <c r="A21" s="12" t="s">
        <v>99</v>
      </c>
      <c r="B21" s="12" t="s">
        <v>100</v>
      </c>
      <c r="C21" s="12" t="s">
        <v>101</v>
      </c>
      <c r="D21" s="12" t="s">
        <v>102</v>
      </c>
      <c r="E21" s="12" t="s">
        <v>103</v>
      </c>
      <c r="F21" s="12" t="s">
        <v>104</v>
      </c>
    </row>
    <row r="22" spans="1:7" ht="39.950000000000003" customHeight="1" x14ac:dyDescent="0.25">
      <c r="A22" s="17" t="s">
        <v>105</v>
      </c>
      <c r="B22" s="16" t="s">
        <v>10</v>
      </c>
      <c r="C22" s="16" t="s">
        <v>106</v>
      </c>
      <c r="D22" s="16" t="s">
        <v>107</v>
      </c>
      <c r="E22" s="16" t="s">
        <v>108</v>
      </c>
      <c r="F22" s="16" t="s">
        <v>109</v>
      </c>
    </row>
    <row r="23" spans="1:7" ht="39.950000000000003" customHeight="1" x14ac:dyDescent="0.25">
      <c r="A23" s="17" t="s">
        <v>110</v>
      </c>
      <c r="B23" s="16" t="s">
        <v>111</v>
      </c>
      <c r="C23" s="16" t="s">
        <v>112</v>
      </c>
      <c r="D23" s="16" t="s">
        <v>113</v>
      </c>
      <c r="E23" s="16" t="s">
        <v>114</v>
      </c>
      <c r="F23" s="16" t="s">
        <v>115</v>
      </c>
    </row>
    <row r="24" spans="1:7" ht="39.950000000000003" customHeight="1" x14ac:dyDescent="0.25">
      <c r="A24" s="17" t="s">
        <v>116</v>
      </c>
      <c r="B24" s="16" t="s">
        <v>47</v>
      </c>
      <c r="C24" s="16" t="s">
        <v>117</v>
      </c>
      <c r="D24" s="16" t="s">
        <v>118</v>
      </c>
      <c r="E24" s="16" t="s">
        <v>119</v>
      </c>
      <c r="F24" s="16" t="s">
        <v>120</v>
      </c>
    </row>
    <row r="25" spans="1:7" ht="39.950000000000003" customHeight="1" x14ac:dyDescent="0.25">
      <c r="A25" s="16" t="s">
        <v>110</v>
      </c>
      <c r="B25" s="16" t="s">
        <v>13</v>
      </c>
      <c r="C25" s="16" t="s">
        <v>121</v>
      </c>
      <c r="D25" s="16" t="s">
        <v>122</v>
      </c>
      <c r="E25" s="16" t="s">
        <v>114</v>
      </c>
      <c r="F25" s="16" t="s">
        <v>123</v>
      </c>
    </row>
    <row r="26" spans="1:7" ht="39.950000000000003" customHeight="1" x14ac:dyDescent="0.25">
      <c r="A26" s="16" t="s">
        <v>124</v>
      </c>
      <c r="B26" s="16" t="s">
        <v>48</v>
      </c>
      <c r="C26" s="16" t="s">
        <v>125</v>
      </c>
      <c r="D26" s="16" t="s">
        <v>126</v>
      </c>
      <c r="E26" s="16" t="s">
        <v>127</v>
      </c>
      <c r="F26" s="16" t="s">
        <v>128</v>
      </c>
    </row>
    <row r="28" spans="1:7" ht="15.75" x14ac:dyDescent="0.25">
      <c r="A28" s="26" t="s">
        <v>129</v>
      </c>
    </row>
    <row r="29" spans="1:7" ht="48" customHeight="1" x14ac:dyDescent="0.25">
      <c r="A29" s="22" t="s">
        <v>130</v>
      </c>
      <c r="B29" s="20"/>
      <c r="C29" s="20"/>
      <c r="D29" s="20"/>
      <c r="E29" s="20"/>
      <c r="F29" s="20"/>
      <c r="G29" s="20"/>
    </row>
    <row r="31" spans="1:7" x14ac:dyDescent="0.25">
      <c r="A31" s="18" t="s">
        <v>131</v>
      </c>
      <c r="B31" s="18" t="s">
        <v>132</v>
      </c>
      <c r="C31" s="18" t="s">
        <v>133</v>
      </c>
      <c r="D31" s="18" t="s">
        <v>134</v>
      </c>
      <c r="E31" s="18" t="s">
        <v>135</v>
      </c>
      <c r="F31" s="18" t="s">
        <v>136</v>
      </c>
    </row>
    <row r="32" spans="1:7" ht="48" customHeight="1" x14ac:dyDescent="0.25">
      <c r="A32" s="16" t="s">
        <v>137</v>
      </c>
      <c r="B32" s="16" t="s">
        <v>138</v>
      </c>
      <c r="C32" s="16" t="s">
        <v>139</v>
      </c>
      <c r="D32" s="16" t="s">
        <v>140</v>
      </c>
      <c r="E32" s="16" t="s">
        <v>141</v>
      </c>
      <c r="F32" s="16" t="s">
        <v>142</v>
      </c>
    </row>
    <row r="33" spans="1:7" ht="48" customHeight="1" x14ac:dyDescent="0.25">
      <c r="A33" s="16" t="s">
        <v>143</v>
      </c>
      <c r="B33" s="16" t="s">
        <v>144</v>
      </c>
      <c r="C33" s="16" t="s">
        <v>145</v>
      </c>
      <c r="D33" s="16" t="s">
        <v>146</v>
      </c>
      <c r="E33" s="16" t="s">
        <v>147</v>
      </c>
      <c r="F33" s="16" t="s">
        <v>148</v>
      </c>
    </row>
    <row r="34" spans="1:7" ht="48" customHeight="1" x14ac:dyDescent="0.25">
      <c r="A34" s="16" t="s">
        <v>149</v>
      </c>
      <c r="B34" s="16" t="s">
        <v>150</v>
      </c>
      <c r="C34" s="16" t="s">
        <v>151</v>
      </c>
      <c r="D34" s="16" t="s">
        <v>152</v>
      </c>
      <c r="E34" s="16" t="s">
        <v>153</v>
      </c>
      <c r="F34" s="16" t="s">
        <v>154</v>
      </c>
    </row>
    <row r="36" spans="1:7" ht="15.75" x14ac:dyDescent="0.25">
      <c r="A36" s="26" t="s">
        <v>155</v>
      </c>
    </row>
    <row r="37" spans="1:7" ht="56.1" customHeight="1" x14ac:dyDescent="0.25">
      <c r="A37" s="22" t="s">
        <v>156</v>
      </c>
      <c r="B37" s="20"/>
      <c r="C37" s="20"/>
      <c r="D37" s="20"/>
      <c r="E37" s="20"/>
      <c r="F37" s="20"/>
      <c r="G37" s="20"/>
    </row>
    <row r="39" spans="1:7" ht="32.1" customHeight="1" x14ac:dyDescent="0.25">
      <c r="A39" s="12" t="s">
        <v>157</v>
      </c>
      <c r="B39" s="12" t="s">
        <v>158</v>
      </c>
      <c r="C39" s="12" t="s">
        <v>159</v>
      </c>
      <c r="D39" s="12" t="s">
        <v>133</v>
      </c>
      <c r="E39" s="12" t="s">
        <v>160</v>
      </c>
      <c r="F39" s="12" t="s">
        <v>161</v>
      </c>
      <c r="G39" s="12" t="s">
        <v>162</v>
      </c>
    </row>
    <row r="40" spans="1:7" ht="51.95" customHeight="1" x14ac:dyDescent="0.25">
      <c r="A40" s="17" t="s">
        <v>163</v>
      </c>
      <c r="B40" s="16" t="s">
        <v>164</v>
      </c>
      <c r="C40" s="16" t="s">
        <v>165</v>
      </c>
      <c r="D40" s="16" t="s">
        <v>166</v>
      </c>
      <c r="E40" s="16" t="s">
        <v>167</v>
      </c>
      <c r="F40" s="16" t="s">
        <v>168</v>
      </c>
      <c r="G40" s="16" t="s">
        <v>169</v>
      </c>
    </row>
    <row r="41" spans="1:7" ht="51.95" customHeight="1" x14ac:dyDescent="0.25">
      <c r="A41" s="17" t="s">
        <v>170</v>
      </c>
      <c r="B41" s="16" t="s">
        <v>171</v>
      </c>
      <c r="C41" s="16" t="s">
        <v>172</v>
      </c>
      <c r="D41" s="16" t="s">
        <v>173</v>
      </c>
      <c r="E41" s="16" t="s">
        <v>174</v>
      </c>
      <c r="F41" s="16" t="s">
        <v>175</v>
      </c>
      <c r="G41" s="16" t="s">
        <v>176</v>
      </c>
    </row>
    <row r="42" spans="1:7" ht="51.95" customHeight="1" x14ac:dyDescent="0.25">
      <c r="A42" s="17" t="s">
        <v>170</v>
      </c>
      <c r="B42" s="16" t="s">
        <v>177</v>
      </c>
      <c r="C42" s="16" t="s">
        <v>178</v>
      </c>
      <c r="D42" s="16" t="s">
        <v>179</v>
      </c>
      <c r="E42" s="16" t="s">
        <v>174</v>
      </c>
      <c r="F42" s="16" t="s">
        <v>180</v>
      </c>
      <c r="G42" s="16" t="s">
        <v>181</v>
      </c>
    </row>
    <row r="43" spans="1:7" ht="51.95" customHeight="1" x14ac:dyDescent="0.25">
      <c r="A43" s="16" t="s">
        <v>182</v>
      </c>
      <c r="B43" s="16" t="s">
        <v>183</v>
      </c>
      <c r="C43" s="16" t="s">
        <v>184</v>
      </c>
      <c r="D43" s="16" t="s">
        <v>185</v>
      </c>
      <c r="E43" s="16" t="s">
        <v>186</v>
      </c>
      <c r="F43" s="16" t="s">
        <v>187</v>
      </c>
      <c r="G43" s="16" t="s">
        <v>188</v>
      </c>
    </row>
    <row r="44" spans="1:7" ht="51.95" customHeight="1" x14ac:dyDescent="0.25">
      <c r="A44" s="16" t="s">
        <v>189</v>
      </c>
      <c r="B44" s="16" t="s">
        <v>190</v>
      </c>
      <c r="C44" s="16" t="s">
        <v>191</v>
      </c>
      <c r="D44" s="16" t="s">
        <v>192</v>
      </c>
      <c r="E44" s="16" t="s">
        <v>193</v>
      </c>
      <c r="F44" s="16" t="s">
        <v>194</v>
      </c>
      <c r="G44" s="16" t="s">
        <v>195</v>
      </c>
    </row>
    <row r="45" spans="1:7" ht="51.95" customHeight="1" x14ac:dyDescent="0.25">
      <c r="A45" s="16" t="s">
        <v>196</v>
      </c>
      <c r="B45" s="16" t="s">
        <v>197</v>
      </c>
      <c r="C45" s="16" t="s">
        <v>198</v>
      </c>
      <c r="D45" s="16" t="s">
        <v>198</v>
      </c>
      <c r="E45" s="16" t="s">
        <v>198</v>
      </c>
      <c r="F45" s="16" t="s">
        <v>198</v>
      </c>
      <c r="G45" s="16" t="s">
        <v>199</v>
      </c>
    </row>
    <row r="47" spans="1:7" ht="15.75" x14ac:dyDescent="0.25">
      <c r="A47" s="26" t="s">
        <v>200</v>
      </c>
    </row>
    <row r="48" spans="1:7" x14ac:dyDescent="0.25">
      <c r="A48" s="15" t="s">
        <v>201</v>
      </c>
      <c r="B48" s="15" t="s">
        <v>202</v>
      </c>
      <c r="C48" s="15" t="s">
        <v>203</v>
      </c>
      <c r="D48" s="15" t="s">
        <v>204</v>
      </c>
    </row>
    <row r="49" spans="1:7" ht="56.1" customHeight="1" x14ac:dyDescent="0.25">
      <c r="A49" s="16" t="s">
        <v>205</v>
      </c>
      <c r="B49" s="16" t="s">
        <v>126</v>
      </c>
      <c r="C49" s="16" t="s">
        <v>206</v>
      </c>
      <c r="D49" s="16" t="s">
        <v>207</v>
      </c>
    </row>
    <row r="51" spans="1:7" ht="15.75" x14ac:dyDescent="0.25">
      <c r="A51" s="26" t="s">
        <v>208</v>
      </c>
    </row>
    <row r="52" spans="1:7" x14ac:dyDescent="0.25">
      <c r="A52" s="15" t="s">
        <v>100</v>
      </c>
      <c r="B52" s="15" t="s">
        <v>102</v>
      </c>
      <c r="C52" s="15" t="s">
        <v>209</v>
      </c>
      <c r="D52" s="15" t="s">
        <v>210</v>
      </c>
    </row>
    <row r="53" spans="1:7" ht="48" customHeight="1" x14ac:dyDescent="0.25">
      <c r="A53" s="16" t="s">
        <v>106</v>
      </c>
      <c r="B53" s="16" t="s">
        <v>211</v>
      </c>
      <c r="C53" s="16" t="s">
        <v>212</v>
      </c>
      <c r="D53" s="16" t="s">
        <v>213</v>
      </c>
    </row>
    <row r="54" spans="1:7" ht="48" customHeight="1" x14ac:dyDescent="0.25">
      <c r="A54" s="16" t="s">
        <v>214</v>
      </c>
      <c r="B54" s="16" t="s">
        <v>215</v>
      </c>
      <c r="C54" s="16" t="s">
        <v>216</v>
      </c>
      <c r="D54" s="16" t="s">
        <v>217</v>
      </c>
    </row>
    <row r="55" spans="1:7" ht="48" customHeight="1" x14ac:dyDescent="0.25">
      <c r="A55" s="16" t="s">
        <v>218</v>
      </c>
      <c r="B55" s="16" t="s">
        <v>219</v>
      </c>
      <c r="C55" s="16" t="s">
        <v>220</v>
      </c>
      <c r="D55" s="16" t="s">
        <v>221</v>
      </c>
    </row>
    <row r="57" spans="1:7" ht="39.950000000000003" customHeight="1" x14ac:dyDescent="0.25">
      <c r="A57" s="19" t="s">
        <v>222</v>
      </c>
      <c r="B57" s="20"/>
      <c r="C57" s="20"/>
      <c r="D57" s="20"/>
      <c r="E57" s="20"/>
      <c r="F57" s="20"/>
      <c r="G57" s="20"/>
    </row>
    <row r="58" spans="1:7" x14ac:dyDescent="0.25">
      <c r="A58" s="20"/>
      <c r="B58" s="20"/>
      <c r="C58" s="20"/>
      <c r="D58" s="20"/>
      <c r="E58" s="20"/>
      <c r="F58" s="20"/>
      <c r="G58" s="20"/>
    </row>
  </sheetData>
  <mergeCells count="6">
    <mergeCell ref="A1:G1"/>
    <mergeCell ref="A57:G58"/>
    <mergeCell ref="A2:G2"/>
    <mergeCell ref="A29:G29"/>
    <mergeCell ref="A19:G19"/>
    <mergeCell ref="A37:G37"/>
  </mergeCells>
  <printOptions horizontalCentered="1"/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Ввод</vt:lpstr>
      <vt:lpstr>Месяцы</vt:lpstr>
      <vt:lpstr>Пояснение</vt:lpstr>
      <vt:lpstr>Примеры сегодня</vt:lpstr>
      <vt:lpstr>Ввод!Заголовки_для_печати</vt:lpstr>
      <vt:lpstr>Месяцы!Заголовки_для_печати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2026-09-01T10:54:18Z</dcterms:created>
  <dcterms:modified xsi:type="dcterms:W3CDTF">2026-09-01T11:24:04Z</dcterms:modified>
</cp:coreProperties>
</file>